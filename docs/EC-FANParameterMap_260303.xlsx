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192.168.1.182\연구개발부문\C_제어연구팀\Z_제어연구실공용\1. 프로젝트\40. EC FAN 드라이브 개발 [D25004C]\"/>
    </mc:Choice>
  </mc:AlternateContent>
  <xr:revisionPtr revIDLastSave="0" documentId="13_ncr:1_{B3A32B1C-56C8-481A-A0B1-0A50F8BF5828}" xr6:coauthVersionLast="47" xr6:coauthVersionMax="47" xr10:uidLastSave="{00000000-0000-0000-0000-000000000000}"/>
  <bookViews>
    <workbookView xWindow="-135" yWindow="-16335" windowWidth="29070" windowHeight="15750" tabRatio="829" activeTab="1" xr2:uid="{00000000-000D-0000-FFFF-FFFF00000000}"/>
  </bookViews>
  <sheets>
    <sheet name="A) Interanl Memory Map" sheetId="10" r:id="rId1"/>
    <sheet name="B) EBMpapst - Holding Register" sheetId="5" r:id="rId2"/>
    <sheet name="C) EBMpapst - Input Register" sheetId="6" r:id="rId3"/>
    <sheet name="D) LSmecapion" sheetId="7" r:id="rId4"/>
    <sheet name="E) EEPROM Parameter Save" sheetId="9" r:id="rId5"/>
  </sheets>
  <definedNames>
    <definedName name="_xlnm._FilterDatabase" localSheetId="0" hidden="1">'A) Interanl Memory Map'!$B$6:$J$41</definedName>
    <definedName name="_xlnm._FilterDatabase" localSheetId="1" hidden="1">'B) EBMpapst - Holding Register'!$B$6:$I$102</definedName>
    <definedName name="_xlnm._FilterDatabase" localSheetId="2" hidden="1">'C) EBMpapst - Input Register'!$B$6:$I$27</definedName>
    <definedName name="_xlnm._FilterDatabase" localSheetId="3" hidden="1">'D) LSmecapion'!$B$6:$I$60</definedName>
    <definedName name="_xlnm._FilterDatabase" localSheetId="4" hidden="1">'E) EEPROM Parameter Save'!$B$6:$G$12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9" l="1"/>
  <c r="B12" i="9" s="1"/>
  <c r="C11" i="9"/>
  <c r="B11" i="9"/>
  <c r="C7" i="10"/>
  <c r="B7" i="10" s="1"/>
  <c r="B6" i="10"/>
  <c r="B6" i="9"/>
  <c r="C7" i="9"/>
  <c r="B7" i="9" s="1"/>
  <c r="C19" i="9"/>
  <c r="B19" i="9" s="1"/>
  <c r="B18" i="9"/>
  <c r="C8" i="9" l="1"/>
  <c r="C20" i="9"/>
  <c r="C8" i="10"/>
  <c r="C21" i="9" l="1"/>
  <c r="B20" i="9"/>
  <c r="C9" i="9"/>
  <c r="B8" i="9"/>
  <c r="C9" i="10"/>
  <c r="B8" i="10"/>
  <c r="B9" i="9" l="1"/>
  <c r="C10" i="9"/>
  <c r="B10" i="9" s="1"/>
  <c r="B21" i="9"/>
  <c r="C22" i="9"/>
  <c r="C10" i="10"/>
  <c r="B9" i="10"/>
  <c r="C23" i="9" l="1"/>
  <c r="B22" i="9"/>
  <c r="B10" i="10"/>
  <c r="C11" i="10"/>
  <c r="C24" i="9" l="1"/>
  <c r="B23" i="9"/>
  <c r="C12" i="10"/>
  <c r="B11" i="10"/>
  <c r="C25" i="9" l="1"/>
  <c r="B24" i="9"/>
  <c r="C13" i="10"/>
  <c r="B12" i="10"/>
  <c r="B25" i="9" l="1"/>
  <c r="C26" i="9"/>
  <c r="C14" i="10"/>
  <c r="B13" i="10"/>
  <c r="B26" i="9" l="1"/>
  <c r="C27" i="9"/>
  <c r="B14" i="10"/>
  <c r="C15" i="10"/>
  <c r="C28" i="9" l="1"/>
  <c r="B27" i="9"/>
  <c r="C16" i="10"/>
  <c r="B15" i="10"/>
  <c r="C29" i="9" l="1"/>
  <c r="B29" i="9" s="1"/>
  <c r="B28" i="9"/>
  <c r="C17" i="10"/>
  <c r="C18" i="10" s="1"/>
  <c r="C19" i="10" s="1"/>
  <c r="C20" i="10" s="1"/>
  <c r="C21" i="10" s="1"/>
  <c r="C22" i="10" s="1"/>
  <c r="C23" i="10" s="1"/>
  <c r="C24" i="10" s="1"/>
  <c r="C25" i="10" s="1"/>
  <c r="C26" i="10" s="1"/>
  <c r="C27" i="10" s="1"/>
  <c r="C28" i="10" s="1"/>
  <c r="C29" i="10" s="1"/>
  <c r="C30" i="10" s="1"/>
  <c r="C31" i="10" s="1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B16" i="10"/>
  <c r="B17" i="10" l="1"/>
  <c r="B23" i="10" l="1"/>
  <c r="B24" i="10" l="1"/>
  <c r="B25" i="10" l="1"/>
  <c r="B26" i="10" l="1"/>
  <c r="B27" i="10" l="1"/>
  <c r="B28" i="10" l="1"/>
  <c r="B29" i="10" l="1"/>
  <c r="B30" i="10" l="1"/>
  <c r="B31" i="10" l="1"/>
  <c r="B18" i="10" l="1"/>
  <c r="B19" i="10" l="1"/>
  <c r="B20" i="10" l="1"/>
  <c r="B21" i="10" l="1"/>
  <c r="B22" i="10" l="1"/>
  <c r="B32" i="10" l="1"/>
  <c r="B33" i="10" l="1"/>
  <c r="B34" i="10" l="1"/>
  <c r="B35" i="10" l="1"/>
  <c r="B36" i="10" l="1"/>
  <c r="B37" i="10" l="1"/>
  <c r="B38" i="10" l="1"/>
  <c r="B39" i="10" l="1"/>
  <c r="B41" i="10" l="1"/>
  <c r="B40" i="10"/>
</calcChain>
</file>

<file path=xl/sharedStrings.xml><?xml version="1.0" encoding="utf-8"?>
<sst xmlns="http://schemas.openxmlformats.org/spreadsheetml/2006/main" count="1391" uniqueCount="510">
  <si>
    <t>1. EC FAN Memory Map</t>
    <phoneticPr fontId="2" type="noConversion"/>
  </si>
  <si>
    <t>속성</t>
  </si>
  <si>
    <t>RW</t>
    <phoneticPr fontId="2" type="noConversion"/>
  </si>
  <si>
    <t>Torque Command</t>
    <phoneticPr fontId="2" type="noConversion"/>
  </si>
  <si>
    <t>Torque Feedback</t>
    <phoneticPr fontId="2" type="noConversion"/>
  </si>
  <si>
    <t>Rotation Direction</t>
    <phoneticPr fontId="2" type="noConversion"/>
  </si>
  <si>
    <t>Positive Torque Limit</t>
    <phoneticPr fontId="2" type="noConversion"/>
  </si>
  <si>
    <t>Negative Torque Limit</t>
    <phoneticPr fontId="2" type="noConversion"/>
  </si>
  <si>
    <t>자료형</t>
    <phoneticPr fontId="2" type="noConversion"/>
  </si>
  <si>
    <t>RO</t>
    <phoneticPr fontId="2" type="noConversion"/>
  </si>
  <si>
    <t>DC Link Voltage</t>
    <phoneticPr fontId="2" type="noConversion"/>
  </si>
  <si>
    <t>Room Temperature 2</t>
    <phoneticPr fontId="2" type="noConversion"/>
  </si>
  <si>
    <t>Room Temperature 1</t>
    <phoneticPr fontId="2" type="noConversion"/>
  </si>
  <si>
    <t>Inverter Firmware Version</t>
    <phoneticPr fontId="2" type="noConversion"/>
  </si>
  <si>
    <t>Inverter Bootloader Version</t>
    <phoneticPr fontId="2" type="noConversion"/>
  </si>
  <si>
    <t>Motor ID</t>
  </si>
  <si>
    <t>RW</t>
  </si>
  <si>
    <t>seq id</t>
    <phoneticPr fontId="2" type="noConversion"/>
  </si>
  <si>
    <t>uint16_t</t>
    <phoneticPr fontId="2" type="noConversion"/>
  </si>
  <si>
    <t>int16_t</t>
    <phoneticPr fontId="2" type="noConversion"/>
  </si>
  <si>
    <t>char[6]</t>
    <phoneticPr fontId="2" type="noConversion"/>
  </si>
  <si>
    <t>Velocity Command</t>
    <phoneticPr fontId="2" type="noConversion"/>
  </si>
  <si>
    <t>Velocity Feedback</t>
    <phoneticPr fontId="2" type="noConversion"/>
  </si>
  <si>
    <t>Servo On/Off</t>
    <phoneticPr fontId="2" type="noConversion"/>
  </si>
  <si>
    <t>Reset</t>
    <phoneticPr fontId="2" type="noConversion"/>
  </si>
  <si>
    <t>V</t>
    <phoneticPr fontId="2" type="noConversion"/>
  </si>
  <si>
    <t>설명</t>
    <phoneticPr fontId="2" type="noConversion"/>
  </si>
  <si>
    <t>Info</t>
    <phoneticPr fontId="2" type="noConversion"/>
  </si>
  <si>
    <t>Monitor</t>
    <phoneticPr fontId="2" type="noConversion"/>
  </si>
  <si>
    <t>Control</t>
    <phoneticPr fontId="2" type="noConversion"/>
  </si>
  <si>
    <t>단위</t>
    <phoneticPr fontId="2" type="noConversion"/>
  </si>
  <si>
    <t>0.1%</t>
    <phoneticPr fontId="2" type="noConversion"/>
  </si>
  <si>
    <t>ms</t>
    <phoneticPr fontId="2" type="noConversion"/>
  </si>
  <si>
    <t>℃</t>
  </si>
  <si>
    <t>DC Link Voltage 모니터링</t>
    <phoneticPr fontId="2" type="noConversion"/>
  </si>
  <si>
    <t>RPM</t>
    <phoneticPr fontId="2" type="noConversion"/>
  </si>
  <si>
    <t>Address</t>
    <phoneticPr fontId="2" type="noConversion"/>
  </si>
  <si>
    <t>Offset</t>
    <phoneticPr fontId="2" type="noConversion"/>
  </si>
  <si>
    <t>분류</t>
    <phoneticPr fontId="2" type="noConversion"/>
  </si>
  <si>
    <t>System</t>
    <phoneticPr fontId="2" type="noConversion"/>
  </si>
  <si>
    <t>Main</t>
    <phoneticPr fontId="2" type="noConversion"/>
  </si>
  <si>
    <t>Inverter</t>
    <phoneticPr fontId="2" type="noConversion"/>
  </si>
  <si>
    <t>Alarm Code</t>
    <phoneticPr fontId="2" type="noConversion"/>
  </si>
  <si>
    <t>Warning Code</t>
    <phoneticPr fontId="2" type="noConversion"/>
  </si>
  <si>
    <t>-</t>
    <phoneticPr fontId="2" type="noConversion"/>
  </si>
  <si>
    <t>통신</t>
    <phoneticPr fontId="2" type="noConversion"/>
  </si>
  <si>
    <t>Servo Mode</t>
    <phoneticPr fontId="2" type="noConversion"/>
  </si>
  <si>
    <t>0 : Default, 1 : AXIAL FAN, 2 : SIROCCO FAN ( Default일 경우 Main으로부터 Motor ID Write 까지 대기 )</t>
    <phoneticPr fontId="2" type="noConversion"/>
  </si>
  <si>
    <t>0 : CW, 1 : CCW (팬을 정면으로 바라보는 상태)</t>
    <phoneticPr fontId="2" type="noConversion"/>
  </si>
  <si>
    <t>Index</t>
    <phoneticPr fontId="2" type="noConversion"/>
  </si>
  <si>
    <t>통신 패킷 순서 확인 및 Alive check</t>
    <phoneticPr fontId="2" type="noConversion"/>
  </si>
  <si>
    <t>0 to Max Speed 도달 시간</t>
    <phoneticPr fontId="2" type="noConversion"/>
  </si>
  <si>
    <t>Max Speed to 0 도달 시간</t>
    <phoneticPr fontId="2" type="noConversion"/>
  </si>
  <si>
    <t xml:space="preserve">	토크 지령</t>
    <phoneticPr fontId="2" type="noConversion"/>
  </si>
  <si>
    <t>정방향 토크 지령 제한</t>
    <phoneticPr fontId="2" type="noConversion"/>
  </si>
  <si>
    <t>역방향 토크 지령 제한</t>
    <phoneticPr fontId="2" type="noConversion"/>
  </si>
  <si>
    <t>속도 지령</t>
    <phoneticPr fontId="2" type="noConversion"/>
  </si>
  <si>
    <t>현재 토크 (부하율)</t>
    <phoneticPr fontId="2" type="noConversion"/>
  </si>
  <si>
    <t>현재 속도</t>
    <phoneticPr fontId="2" type="noConversion"/>
  </si>
  <si>
    <t>파워 모듈 온도</t>
    <phoneticPr fontId="2" type="noConversion"/>
  </si>
  <si>
    <t xml:space="preserve">	제어 보드 온도</t>
    <phoneticPr fontId="2" type="noConversion"/>
  </si>
  <si>
    <t>0 : Idle, 1 : Torque, 2 : Velocity, 3 : Position</t>
    <phoneticPr fontId="2" type="noConversion"/>
  </si>
  <si>
    <t>0xD000</t>
    <phoneticPr fontId="12" type="noConversion"/>
  </si>
  <si>
    <t>0x2000</t>
    <phoneticPr fontId="12" type="noConversion"/>
  </si>
  <si>
    <t>Reset</t>
    <phoneticPr fontId="12" type="noConversion"/>
  </si>
  <si>
    <t>0xD001</t>
    <phoneticPr fontId="12" type="noConversion"/>
  </si>
  <si>
    <t>0x2001</t>
    <phoneticPr fontId="12" type="noConversion"/>
  </si>
  <si>
    <t>Setpoint</t>
    <phoneticPr fontId="12" type="noConversion"/>
  </si>
  <si>
    <t>0xD005</t>
    <phoneticPr fontId="12" type="noConversion"/>
  </si>
  <si>
    <t>Factory setting Control</t>
    <phoneticPr fontId="12" type="noConversion"/>
  </si>
  <si>
    <t>공장 초기값 변경 및 적용 용도</t>
    <phoneticPr fontId="12" type="noConversion"/>
  </si>
  <si>
    <t>0xD009</t>
    <phoneticPr fontId="12" type="noConversion"/>
  </si>
  <si>
    <t>Operating hours counter</t>
    <phoneticPr fontId="12" type="noConversion"/>
  </si>
  <si>
    <t>65535시간까지 카운트 후 고정</t>
    <phoneticPr fontId="12" type="noConversion"/>
  </si>
  <si>
    <t>0xD00A</t>
    <phoneticPr fontId="12" type="noConversion"/>
  </si>
  <si>
    <t>Operating minutes counter</t>
    <phoneticPr fontId="12" type="noConversion"/>
  </si>
  <si>
    <t>0분 to 59분 롤링</t>
    <phoneticPr fontId="12" type="noConversion"/>
  </si>
  <si>
    <t>0xD00D</t>
    <phoneticPr fontId="12" type="noConversion"/>
  </si>
  <si>
    <t>Stored set value</t>
    <phoneticPr fontId="12" type="noConversion"/>
  </si>
  <si>
    <t>0xD00F</t>
    <phoneticPr fontId="12" type="noConversion"/>
  </si>
  <si>
    <t>Enable/Disable</t>
    <phoneticPr fontId="12" type="noConversion"/>
  </si>
  <si>
    <t>0xD100</t>
    <phoneticPr fontId="12" type="noConversion"/>
  </si>
  <si>
    <t>0x2003</t>
    <phoneticPr fontId="12" type="noConversion"/>
  </si>
  <si>
    <t>Fan address</t>
    <phoneticPr fontId="12" type="noConversion"/>
  </si>
  <si>
    <t>Node ID와 같은 역할</t>
    <phoneticPr fontId="12" type="noConversion"/>
  </si>
  <si>
    <t>0xD101</t>
    <phoneticPr fontId="12" type="noConversion"/>
  </si>
  <si>
    <t>Set value source</t>
    <phoneticPr fontId="12" type="noConversion"/>
  </si>
  <si>
    <t>0xD102</t>
    <phoneticPr fontId="12" type="noConversion"/>
  </si>
  <si>
    <t>0x2004</t>
    <phoneticPr fontId="12" type="noConversion"/>
  </si>
  <si>
    <t>Preferred running direction</t>
    <phoneticPr fontId="12" type="noConversion"/>
  </si>
  <si>
    <t>0x2005</t>
    <phoneticPr fontId="12" type="noConversion"/>
  </si>
  <si>
    <t>0xD119</t>
    <phoneticPr fontId="12" type="noConversion"/>
  </si>
  <si>
    <t>Maximum speed</t>
    <phoneticPr fontId="12" type="noConversion"/>
  </si>
  <si>
    <t>0xD11A</t>
    <phoneticPr fontId="12" type="noConversion"/>
  </si>
  <si>
    <t>Maximum permissible speed</t>
    <phoneticPr fontId="12" type="noConversion"/>
  </si>
  <si>
    <t>0xD11F</t>
    <phoneticPr fontId="12" type="noConversion"/>
  </si>
  <si>
    <t>Ramp-up curve</t>
    <phoneticPr fontId="12" type="noConversion"/>
  </si>
  <si>
    <t>0xD120</t>
    <phoneticPr fontId="12" type="noConversion"/>
  </si>
  <si>
    <t>Ramp-down curve</t>
    <phoneticPr fontId="12" type="noConversion"/>
  </si>
  <si>
    <t>아날로그 입력 또는 PWM 입력 신호에 설정값을 할당하는데 사용</t>
    <phoneticPr fontId="12" type="noConversion"/>
  </si>
  <si>
    <t>0xD12F</t>
    <phoneticPr fontId="12" type="noConversion"/>
  </si>
  <si>
    <t>Limitation Control</t>
    <phoneticPr fontId="12" type="noConversion"/>
  </si>
  <si>
    <t>0xD135</t>
  </si>
  <si>
    <t>Maximum permissible power</t>
    <phoneticPr fontId="12" type="noConversion"/>
  </si>
  <si>
    <t>허용 가능한 최대 파워 설정</t>
    <phoneticPr fontId="12" type="noConversion"/>
  </si>
  <si>
    <t>0xD136</t>
  </si>
  <si>
    <t>모듈과 모터의 온도를 토대로 출력을 디레이팅 하는 기능</t>
    <phoneticPr fontId="12" type="noConversion"/>
  </si>
  <si>
    <t>0xD137</t>
  </si>
  <si>
    <t>0xD138</t>
  </si>
  <si>
    <t>0xD14D</t>
    <phoneticPr fontId="12" type="noConversion"/>
  </si>
  <si>
    <t>0xD14E</t>
    <phoneticPr fontId="12" type="noConversion"/>
  </si>
  <si>
    <t>0xD13B</t>
    <phoneticPr fontId="12" type="noConversion"/>
  </si>
  <si>
    <t>0x2111</t>
    <phoneticPr fontId="12" type="noConversion"/>
  </si>
  <si>
    <t>Maximum coil current</t>
    <phoneticPr fontId="12" type="noConversion"/>
  </si>
  <si>
    <t>0xD145</t>
    <phoneticPr fontId="12" type="noConversion"/>
  </si>
  <si>
    <t>0xD149</t>
  </si>
  <si>
    <t>Transmission speed</t>
    <phoneticPr fontId="12" type="noConversion"/>
  </si>
  <si>
    <t>0xD14A</t>
    <phoneticPr fontId="12" type="noConversion"/>
  </si>
  <si>
    <t>Parity configuration</t>
    <phoneticPr fontId="12" type="noConversion"/>
  </si>
  <si>
    <t>0xF150</t>
    <phoneticPr fontId="12" type="noConversion"/>
  </si>
  <si>
    <t>Shedding function</t>
    <phoneticPr fontId="12" type="noConversion"/>
  </si>
  <si>
    <t>0xF151</t>
  </si>
  <si>
    <t>Max. starting modulation level</t>
    <phoneticPr fontId="12" type="noConversion"/>
  </si>
  <si>
    <t>0xF152</t>
  </si>
  <si>
    <t>Number of start attempts</t>
    <phoneticPr fontId="12" type="noConversion"/>
  </si>
  <si>
    <t>0xF153</t>
  </si>
  <si>
    <t>Relay dropout delay</t>
    <phoneticPr fontId="12" type="noConversion"/>
  </si>
  <si>
    <t>0xD155</t>
    <phoneticPr fontId="12" type="noConversion"/>
  </si>
  <si>
    <t>Maximum power</t>
    <phoneticPr fontId="12" type="noConversion"/>
  </si>
  <si>
    <t>최대 파워 설정</t>
    <phoneticPr fontId="12" type="noConversion"/>
  </si>
  <si>
    <t>0xD158</t>
  </si>
  <si>
    <t>Configuration of I/O 1</t>
    <phoneticPr fontId="12" type="noConversion"/>
  </si>
  <si>
    <t>I/O 활성/비활성화 설정 파라미터</t>
    <phoneticPr fontId="12" type="noConversion"/>
  </si>
  <si>
    <t>0xD159</t>
  </si>
  <si>
    <t>Configuration of I/O 2</t>
    <phoneticPr fontId="12" type="noConversion"/>
  </si>
  <si>
    <t>0xD15A</t>
    <phoneticPr fontId="12" type="noConversion"/>
  </si>
  <si>
    <t>Configuration of I/O 3</t>
  </si>
  <si>
    <t>0xD170</t>
    <phoneticPr fontId="12" type="noConversion"/>
  </si>
  <si>
    <t>Customer data</t>
    <phoneticPr fontId="12" type="noConversion"/>
  </si>
  <si>
    <t>고객 사용 영역</t>
    <phoneticPr fontId="12" type="noConversion"/>
  </si>
  <si>
    <t>0xD171</t>
  </si>
  <si>
    <t>0xD172</t>
  </si>
  <si>
    <t>0xD173</t>
  </si>
  <si>
    <t>0xD174</t>
  </si>
  <si>
    <t>0xD175</t>
  </si>
  <si>
    <t>0xD176</t>
  </si>
  <si>
    <t>0xD177</t>
  </si>
  <si>
    <t>0xD178</t>
  </si>
  <si>
    <t>0xD179</t>
  </si>
  <si>
    <t>0xD17A</t>
    <phoneticPr fontId="12" type="noConversion"/>
  </si>
  <si>
    <t>0xD17B</t>
    <phoneticPr fontId="12" type="noConversion"/>
  </si>
  <si>
    <t>0xD17C</t>
    <phoneticPr fontId="12" type="noConversion"/>
  </si>
  <si>
    <t>0xD17D</t>
    <phoneticPr fontId="12" type="noConversion"/>
  </si>
  <si>
    <t>0xD17E</t>
    <phoneticPr fontId="12" type="noConversion"/>
  </si>
  <si>
    <t>0xD17F</t>
    <phoneticPr fontId="12" type="noConversion"/>
  </si>
  <si>
    <t>0xD180</t>
    <phoneticPr fontId="12" type="noConversion"/>
  </si>
  <si>
    <t>0xD009의 사용시간을 저장하는 파라미터</t>
    <phoneticPr fontId="12" type="noConversion"/>
  </si>
  <si>
    <t>0xD182</t>
  </si>
  <si>
    <t>Error indicator</t>
    <phoneticPr fontId="12" type="noConversion"/>
  </si>
  <si>
    <t>가장 최근 에러의 파라미터 번호를 표시, 에러 히스토리는 큐 버퍼 처럼 움직임</t>
    <phoneticPr fontId="12" type="noConversion"/>
  </si>
  <si>
    <t>0xD184</t>
  </si>
  <si>
    <t>Error 1</t>
    <phoneticPr fontId="12" type="noConversion"/>
  </si>
  <si>
    <t>팬에서 발생한 첫 번째 오류 표시</t>
    <phoneticPr fontId="12" type="noConversion"/>
  </si>
  <si>
    <t>0xD185</t>
  </si>
  <si>
    <t>Error time</t>
    <phoneticPr fontId="12" type="noConversion"/>
  </si>
  <si>
    <t>팬에서 발생한 에러를 최대 13개까지 저장</t>
    <phoneticPr fontId="12" type="noConversion"/>
  </si>
  <si>
    <t>0xD186</t>
  </si>
  <si>
    <t>Error history 1</t>
    <phoneticPr fontId="12" type="noConversion"/>
  </si>
  <si>
    <t>0xD187</t>
  </si>
  <si>
    <t>Error history time 1</t>
    <phoneticPr fontId="12" type="noConversion"/>
  </si>
  <si>
    <t>0xD188</t>
  </si>
  <si>
    <t>Error history 2</t>
    <phoneticPr fontId="12" type="noConversion"/>
  </si>
  <si>
    <t>0xD189</t>
  </si>
  <si>
    <t>Error history time 2</t>
    <phoneticPr fontId="12" type="noConversion"/>
  </si>
  <si>
    <t>0xD18A</t>
    <phoneticPr fontId="12" type="noConversion"/>
  </si>
  <si>
    <t>Error history 3</t>
  </si>
  <si>
    <t>0xD18B</t>
    <phoneticPr fontId="12" type="noConversion"/>
  </si>
  <si>
    <t>Error history time 3</t>
  </si>
  <si>
    <t>0xD18C</t>
    <phoneticPr fontId="12" type="noConversion"/>
  </si>
  <si>
    <t>Error history 4</t>
  </si>
  <si>
    <t>0xD18D</t>
    <phoneticPr fontId="12" type="noConversion"/>
  </si>
  <si>
    <t>Error history time 4</t>
  </si>
  <si>
    <t>0xD18E</t>
    <phoneticPr fontId="12" type="noConversion"/>
  </si>
  <si>
    <t>Error history 5</t>
  </si>
  <si>
    <t>0xD18F</t>
    <phoneticPr fontId="12" type="noConversion"/>
  </si>
  <si>
    <t>Error history time 5</t>
  </si>
  <si>
    <t>0xD190</t>
    <phoneticPr fontId="12" type="noConversion"/>
  </si>
  <si>
    <t>Error history 6</t>
  </si>
  <si>
    <t>0xD191</t>
  </si>
  <si>
    <t>Error history time 6</t>
  </si>
  <si>
    <t>0xD192</t>
  </si>
  <si>
    <t>Error history 7</t>
  </si>
  <si>
    <t>0xD193</t>
  </si>
  <si>
    <t>Error history time 7</t>
  </si>
  <si>
    <t>0xD194</t>
  </si>
  <si>
    <t>Error history 8</t>
  </si>
  <si>
    <t>0xD195</t>
  </si>
  <si>
    <t>Error history time 8</t>
  </si>
  <si>
    <t>0xD196</t>
  </si>
  <si>
    <t>Error history 9</t>
  </si>
  <si>
    <t>0xD197</t>
  </si>
  <si>
    <t>Error history time 9</t>
  </si>
  <si>
    <t>0xD198</t>
  </si>
  <si>
    <t>Error history 10</t>
  </si>
  <si>
    <t>0xD199</t>
  </si>
  <si>
    <t>Error history time 10</t>
  </si>
  <si>
    <t>0xD19A</t>
    <phoneticPr fontId="12" type="noConversion"/>
  </si>
  <si>
    <t>Error history 11</t>
  </si>
  <si>
    <t>0xD19B</t>
    <phoneticPr fontId="12" type="noConversion"/>
  </si>
  <si>
    <t>Error history time 11</t>
  </si>
  <si>
    <t>0xD19C</t>
    <phoneticPr fontId="12" type="noConversion"/>
  </si>
  <si>
    <t>Error history 12</t>
  </si>
  <si>
    <t>0xD19D</t>
    <phoneticPr fontId="12" type="noConversion"/>
  </si>
  <si>
    <t>Error history time 12</t>
  </si>
  <si>
    <t>0xD19E</t>
    <phoneticPr fontId="12" type="noConversion"/>
  </si>
  <si>
    <t>Error history 13</t>
  </si>
  <si>
    <t>0xD19F</t>
    <phoneticPr fontId="12" type="noConversion"/>
  </si>
  <si>
    <t>Error history time 13</t>
  </si>
  <si>
    <t>0xD1A2</t>
    <phoneticPr fontId="12" type="noConversion"/>
  </si>
  <si>
    <t>Serial Number</t>
    <phoneticPr fontId="12" type="noConversion"/>
  </si>
  <si>
    <t>0xD1A3</t>
    <phoneticPr fontId="12" type="noConversion"/>
  </si>
  <si>
    <t>0xD1A4</t>
  </si>
  <si>
    <t>Date of manufacture</t>
    <phoneticPr fontId="12" type="noConversion"/>
  </si>
  <si>
    <t>0xD1A5</t>
  </si>
  <si>
    <t>FAN type</t>
    <phoneticPr fontId="12" type="noConversion"/>
  </si>
  <si>
    <t>0xD1A6</t>
  </si>
  <si>
    <t>0xD1A7</t>
  </si>
  <si>
    <t>0xD1A8</t>
  </si>
  <si>
    <t>0xD1A9</t>
  </si>
  <si>
    <t>0xD1AA</t>
    <phoneticPr fontId="12" type="noConversion"/>
  </si>
  <si>
    <t>0xD623</t>
    <phoneticPr fontId="12" type="noConversion"/>
  </si>
  <si>
    <t>Error Mask</t>
    <phoneticPr fontId="12" type="noConversion"/>
  </si>
  <si>
    <t>마스크 씌운 경고 또는 에러가 날 경우 릴레이 출력</t>
    <phoneticPr fontId="12" type="noConversion"/>
  </si>
  <si>
    <t>0xD624</t>
  </si>
  <si>
    <t>Warning Mask</t>
    <phoneticPr fontId="12" type="noConversion"/>
  </si>
  <si>
    <t>EBM Address</t>
    <phoneticPr fontId="2" type="noConversion"/>
  </si>
  <si>
    <t>LSM Address</t>
    <phoneticPr fontId="2" type="noConversion"/>
  </si>
  <si>
    <t>이름</t>
    <phoneticPr fontId="2" type="noConversion"/>
  </si>
  <si>
    <t>구현</t>
    <phoneticPr fontId="2" type="noConversion"/>
  </si>
  <si>
    <t>Software Reset, Error Reset, EEPROM to RAM,</t>
    <phoneticPr fontId="12" type="noConversion"/>
  </si>
  <si>
    <t>0: Speed Control, 2: Open-loop control</t>
    <phoneticPr fontId="12" type="noConversion"/>
  </si>
  <si>
    <t>센서 제어모드 및 Open-loop control 모드에서는 이 파라미터에 지정된 속도로 제한 (토크모드에서의 속도제한 값)</t>
    <phoneticPr fontId="12" type="noConversion"/>
  </si>
  <si>
    <t>최대 속도의 상한치를 설정합니다. (모터 최대 속도)</t>
    <phoneticPr fontId="12" type="noConversion"/>
  </si>
  <si>
    <t>0번 비트 set : Power limit 활성화, 1번 비트 set : Current Limit 활성화</t>
    <phoneticPr fontId="12" type="noConversion"/>
  </si>
  <si>
    <t>에러나 경고 감지 시 릴레이 출력 지연시간을 설정하여 단기 이슈일 경우는 무시하도록 동작시킬 수 있음</t>
    <phoneticPr fontId="12" type="noConversion"/>
  </si>
  <si>
    <t>외부 환경에 의해 팬이 얼어 기동이 어려울 경우 이 기능 활성화를 통해 구속 상태를 제거할 수 있음</t>
    <phoneticPr fontId="12" type="noConversion"/>
  </si>
  <si>
    <t>Operating hours counter (back-up)</t>
    <phoneticPr fontId="12" type="noConversion"/>
  </si>
  <si>
    <t>Speed limit for running monitoring</t>
    <phoneticPr fontId="12" type="noConversion"/>
  </si>
  <si>
    <t>실행 모니터링 속도제한, 속도 피드백이 이 파라미터에 설정된 속도보다 낮을 경우 오류 해제 (n_Low)</t>
    <phoneticPr fontId="12" type="noConversion"/>
  </si>
  <si>
    <t>Set Point 설정값이 EEPROM에 저장됨, 급작스러운 전원 공급 중단 및 복구 후 마지막 설정값으로 재 시작하기위한 목적으로 사용</t>
    <phoneticPr fontId="12" type="noConversion"/>
  </si>
  <si>
    <t>서보드라이브의 SVON/SVOFF와 같은 기능, 0xD16A(Enable/Disable source)의 값에 따라 적절한 Enable state가 결정된다.</t>
    <phoneticPr fontId="12" type="noConversion"/>
  </si>
  <si>
    <t>구동 방향 결정 (0: CCW, 1: CW)</t>
    <phoneticPr fontId="12" type="noConversion"/>
  </si>
  <si>
    <t>0: set value가 0이더라도 모터 항상 SVON, 1: set value가 0일 경우 모터 SVOFF</t>
    <phoneticPr fontId="12" type="noConversion"/>
  </si>
  <si>
    <r>
      <t>0: 1200bps, 1: 2400bps, 2: 4800bps, 3: 9600bps, 4: 19200</t>
    </r>
    <r>
      <rPr>
        <sz val="11"/>
        <color theme="1"/>
        <rFont val="맑은 고딕"/>
        <family val="3"/>
        <charset val="129"/>
        <scheme val="minor"/>
      </rPr>
      <t>bps (default), 5: 38400bps, 6: 57600bps, 7: 115200bps</t>
    </r>
    <phoneticPr fontId="12" type="noConversion"/>
  </si>
  <si>
    <t>0: Data8, Even, Stop1(default), 1: Data8, Odd, Stop1, 2: Data8, None, Stop2, 3: Data8, None, Stop1</t>
    <phoneticPr fontId="12" type="noConversion"/>
  </si>
  <si>
    <t>제조일자</t>
    <phoneticPr fontId="2" type="noConversion"/>
  </si>
  <si>
    <t>Max. power at derating end</t>
    <phoneticPr fontId="12" type="noConversion"/>
  </si>
  <si>
    <t>Module temperature power derating start</t>
    <phoneticPr fontId="12" type="noConversion"/>
  </si>
  <si>
    <t>Module temperature power derating end</t>
    <phoneticPr fontId="12" type="noConversion"/>
  </si>
  <si>
    <t>Motor temperature power derating start address</t>
    <phoneticPr fontId="12" type="noConversion"/>
  </si>
  <si>
    <t>Motor temperature power derating end address</t>
    <phoneticPr fontId="12" type="noConversion"/>
  </si>
  <si>
    <t>0xD106</t>
    <phoneticPr fontId="12" type="noConversion"/>
  </si>
  <si>
    <t>0xD112</t>
    <phoneticPr fontId="2" type="noConversion"/>
  </si>
  <si>
    <t>Operating mode (parameter set 1)</t>
    <phoneticPr fontId="12" type="noConversion"/>
  </si>
  <si>
    <t>Motor stop enable (parameter set 1)</t>
    <phoneticPr fontId="12" type="noConversion"/>
  </si>
  <si>
    <t>Point 1 X-coordinate (parameter set 1)</t>
    <phoneticPr fontId="12" type="noConversion"/>
  </si>
  <si>
    <t>Point 1 Y-coordinate (parameter set 1)</t>
    <phoneticPr fontId="12" type="noConversion"/>
  </si>
  <si>
    <t>Point 2 X-coordinate (parameter set 1)</t>
    <phoneticPr fontId="12" type="noConversion"/>
  </si>
  <si>
    <t>Point 2 Y-coordinate (parameter set 1)</t>
    <phoneticPr fontId="12" type="noConversion"/>
  </si>
  <si>
    <t>0xD12D</t>
    <phoneticPr fontId="12" type="noConversion"/>
  </si>
  <si>
    <t>0xD12C</t>
    <phoneticPr fontId="12" type="noConversion"/>
  </si>
  <si>
    <t>0xD12B</t>
    <phoneticPr fontId="12" type="noConversion"/>
  </si>
  <si>
    <t>0xD12A</t>
    <phoneticPr fontId="12" type="noConversion"/>
  </si>
  <si>
    <t xml:space="preserve">   A) Interanl Memory Map</t>
    <phoneticPr fontId="2" type="noConversion"/>
  </si>
  <si>
    <t xml:space="preserve">   B) EBMpapst 파라미터 기능 구현 목록 (Holding Register)</t>
    <phoneticPr fontId="2" type="noConversion"/>
  </si>
  <si>
    <t>메인 지령값 (속도/토크 등 모드에 따름)</t>
    <phoneticPr fontId="12" type="noConversion"/>
  </si>
  <si>
    <t>0:AIN1, 1:RS485, 2:AIN2, 3:PWM</t>
    <phoneticPr fontId="12" type="noConversion"/>
  </si>
  <si>
    <t>모델명 (ASCII String)</t>
    <phoneticPr fontId="12" type="noConversion"/>
  </si>
  <si>
    <t>제품 시리얼 번호</t>
    <phoneticPr fontId="12" type="noConversion"/>
  </si>
  <si>
    <t>%</t>
    <phoneticPr fontId="2" type="noConversion"/>
  </si>
  <si>
    <t>전류 제한 파라미터</t>
    <phoneticPr fontId="12" type="noConversion"/>
  </si>
  <si>
    <t>0x2650</t>
    <phoneticPr fontId="12" type="noConversion"/>
  </si>
  <si>
    <t>Identification</t>
    <phoneticPr fontId="12" type="noConversion"/>
  </si>
  <si>
    <t>0xD001</t>
  </si>
  <si>
    <t>0x2651</t>
    <phoneticPr fontId="12" type="noConversion"/>
  </si>
  <si>
    <t>Max. number of bytes</t>
    <phoneticPr fontId="12" type="noConversion"/>
  </si>
  <si>
    <t>0xD002</t>
  </si>
  <si>
    <t>0x2652</t>
  </si>
  <si>
    <t>Main 부트버전</t>
    <phoneticPr fontId="12" type="noConversion"/>
  </si>
  <si>
    <t>0xD003</t>
  </si>
  <si>
    <t>0x2653</t>
  </si>
  <si>
    <t>Main 펌웨어 버전</t>
    <phoneticPr fontId="12" type="noConversion"/>
  </si>
  <si>
    <t>0xD004</t>
  </si>
  <si>
    <t>0x2654</t>
  </si>
  <si>
    <t>Inverter 부트 버전</t>
    <phoneticPr fontId="12" type="noConversion"/>
  </si>
  <si>
    <t>0xD005</t>
  </si>
  <si>
    <t>0x2655</t>
  </si>
  <si>
    <t>Inverter 펌웨어 버전</t>
    <phoneticPr fontId="12" type="noConversion"/>
  </si>
  <si>
    <t>0xD010</t>
    <phoneticPr fontId="12" type="noConversion"/>
  </si>
  <si>
    <t>0xD011</t>
  </si>
  <si>
    <t>0x2661</t>
    <phoneticPr fontId="12" type="noConversion"/>
  </si>
  <si>
    <t>Motor status</t>
    <phoneticPr fontId="12" type="noConversion"/>
  </si>
  <si>
    <t>0xD012</t>
  </si>
  <si>
    <t>0x2662</t>
    <phoneticPr fontId="12" type="noConversion"/>
  </si>
  <si>
    <t>Warning</t>
    <phoneticPr fontId="12" type="noConversion"/>
  </si>
  <si>
    <t>0xD013</t>
  </si>
  <si>
    <t>0x2605</t>
    <phoneticPr fontId="12" type="noConversion"/>
  </si>
  <si>
    <t>DC-link voltage</t>
    <phoneticPr fontId="12" type="noConversion"/>
  </si>
  <si>
    <t>0xD014</t>
  </si>
  <si>
    <t>DC-link current</t>
    <phoneticPr fontId="12" type="noConversion"/>
  </si>
  <si>
    <t>0xD015</t>
  </si>
  <si>
    <t>0x260B</t>
    <phoneticPr fontId="12" type="noConversion"/>
  </si>
  <si>
    <t>Module temperature</t>
    <phoneticPr fontId="12" type="noConversion"/>
  </si>
  <si>
    <t>IGBT Temperature Sensor 값</t>
    <phoneticPr fontId="12" type="noConversion"/>
  </si>
  <si>
    <t>0xD017</t>
  </si>
  <si>
    <t>0x260C</t>
    <phoneticPr fontId="12" type="noConversion"/>
  </si>
  <si>
    <t>Electronics temperature</t>
    <phoneticPr fontId="12" type="noConversion"/>
  </si>
  <si>
    <t>제어부 Temperature 값</t>
    <phoneticPr fontId="12" type="noConversion"/>
  </si>
  <si>
    <t>0xD018</t>
  </si>
  <si>
    <t>Current direction of rotation</t>
    <phoneticPr fontId="12" type="noConversion"/>
  </si>
  <si>
    <t>0xD01A</t>
    <phoneticPr fontId="12" type="noConversion"/>
  </si>
  <si>
    <t>Current set value</t>
    <phoneticPr fontId="12" type="noConversion"/>
  </si>
  <si>
    <t>0xD01C</t>
    <phoneticPr fontId="12" type="noConversion"/>
  </si>
  <si>
    <t>Enable/Disable input state</t>
    <phoneticPr fontId="12" type="noConversion"/>
  </si>
  <si>
    <t>0xD021</t>
  </si>
  <si>
    <t>0xD02D</t>
    <phoneticPr fontId="12" type="noConversion"/>
  </si>
  <si>
    <t>0x2600</t>
    <phoneticPr fontId="12" type="noConversion"/>
  </si>
  <si>
    <t>0xD03D</t>
    <phoneticPr fontId="12" type="noConversion"/>
  </si>
  <si>
    <t>Line Voltage</t>
    <phoneticPr fontId="12" type="noConversion"/>
  </si>
  <si>
    <t>0xD050</t>
    <phoneticPr fontId="12" type="noConversion"/>
  </si>
  <si>
    <t>0x2601</t>
    <phoneticPr fontId="12" type="noConversion"/>
  </si>
  <si>
    <t>Command speed</t>
    <phoneticPr fontId="12" type="noConversion"/>
  </si>
  <si>
    <t>0xD051</t>
    <phoneticPr fontId="12" type="noConversion"/>
  </si>
  <si>
    <t>0x6074</t>
    <phoneticPr fontId="12" type="noConversion"/>
  </si>
  <si>
    <t>Command torque</t>
    <phoneticPr fontId="12" type="noConversion"/>
  </si>
  <si>
    <t xml:space="preserve">   C) EBMpapst 파라미터 기능 구현 목록 (Input Register)</t>
    <phoneticPr fontId="2" type="noConversion"/>
  </si>
  <si>
    <t>Current power (Relative)</t>
    <phoneticPr fontId="12" type="noConversion"/>
  </si>
  <si>
    <t>Actual speed (Relative)</t>
    <phoneticPr fontId="12" type="noConversion"/>
  </si>
  <si>
    <t>Bus controller software name</t>
    <phoneticPr fontId="12" type="noConversion"/>
  </si>
  <si>
    <t>Bus controller software version</t>
    <phoneticPr fontId="12" type="noConversion"/>
  </si>
  <si>
    <t>Commutation controller software name</t>
    <phoneticPr fontId="12" type="noConversion"/>
  </si>
  <si>
    <t>Commutation controller software version</t>
    <phoneticPr fontId="12" type="noConversion"/>
  </si>
  <si>
    <t>Actual speed (RPM)</t>
    <phoneticPr fontId="12" type="noConversion"/>
  </si>
  <si>
    <t>"1.00B\0"</t>
    <phoneticPr fontId="2" type="noConversion"/>
  </si>
  <si>
    <t>"1.00F\0"</t>
    <phoneticPr fontId="2" type="noConversion"/>
  </si>
  <si>
    <t>hour</t>
    <phoneticPr fontId="2" type="noConversion"/>
  </si>
  <si>
    <t>Monitoring 1</t>
    <phoneticPr fontId="2" type="noConversion"/>
  </si>
  <si>
    <t>Monitoring 2</t>
    <phoneticPr fontId="2" type="noConversion"/>
  </si>
  <si>
    <t>Monitoring 3</t>
    <phoneticPr fontId="2" type="noConversion"/>
  </si>
  <si>
    <t>Monitoring 4</t>
    <phoneticPr fontId="2" type="noConversion"/>
  </si>
  <si>
    <t>Velocity Acc Dec Time</t>
    <phoneticPr fontId="2" type="noConversion"/>
  </si>
  <si>
    <t>Torque Slope</t>
    <phoneticPr fontId="2" type="noConversion"/>
  </si>
  <si>
    <t xml:space="preserve">   D) LSmecapion 파라미터 기능 구현 목록</t>
    <phoneticPr fontId="2" type="noConversion"/>
  </si>
  <si>
    <t>Software Reset, Error Reset, EEPROM to RAM</t>
    <phoneticPr fontId="12" type="noConversion"/>
  </si>
  <si>
    <t>*Gain 조정할수도 (Velocity, Torque)</t>
    <phoneticPr fontId="2" type="noConversion"/>
  </si>
  <si>
    <t>*모니터링 기능 구현</t>
    <phoneticPr fontId="2" type="noConversion"/>
  </si>
  <si>
    <t>Byte</t>
    <phoneticPr fontId="2" type="noConversion"/>
  </si>
  <si>
    <t>0x4242</t>
    <phoneticPr fontId="2" type="noConversion"/>
  </si>
  <si>
    <t>0 : Servo Off, 1 : Servo On</t>
    <phoneticPr fontId="2" type="noConversion"/>
  </si>
  <si>
    <t>EEPROM</t>
    <phoneticPr fontId="2" type="noConversion"/>
  </si>
  <si>
    <t>Address</t>
  </si>
  <si>
    <t xml:space="preserve">   E-1) Main EEPROM Parameter Save</t>
    <phoneticPr fontId="2" type="noConversion"/>
  </si>
  <si>
    <t xml:space="preserve">   E-2) Inverter Flash Parameter Save</t>
    <phoneticPr fontId="2" type="noConversion"/>
  </si>
  <si>
    <t>FLASH_CHK</t>
    <phoneticPr fontId="12" type="noConversion"/>
  </si>
  <si>
    <t>uint32_t</t>
  </si>
  <si>
    <t>float</t>
    <phoneticPr fontId="2" type="noConversion"/>
  </si>
  <si>
    <t>Iofs.u</t>
    <phoneticPr fontId="12" type="noConversion"/>
  </si>
  <si>
    <t>Iofs.v</t>
    <phoneticPr fontId="12" type="noConversion"/>
  </si>
  <si>
    <t>Iofs.w</t>
    <phoneticPr fontId="12" type="noConversion"/>
  </si>
  <si>
    <t>HEnc.Anofs.u</t>
    <phoneticPr fontId="12" type="noConversion"/>
  </si>
  <si>
    <t>HEnc.Anofs.v</t>
    <phoneticPr fontId="12" type="noConversion"/>
  </si>
  <si>
    <t>HEnc.Anofs.w</t>
    <phoneticPr fontId="12" type="noConversion"/>
  </si>
  <si>
    <t>HEnc.Angain.u</t>
    <phoneticPr fontId="12" type="noConversion"/>
  </si>
  <si>
    <t>HEnc.Angain.v</t>
    <phoneticPr fontId="2" type="noConversion"/>
  </si>
  <si>
    <t>HEnc.Angain.w</t>
    <phoneticPr fontId="2" type="noConversion"/>
  </si>
  <si>
    <t>HEnc.offset</t>
    <phoneticPr fontId="2" type="noConversion"/>
  </si>
  <si>
    <t>DPARM.PN16U_NodeID</t>
  </si>
  <si>
    <t>Flash</t>
    <phoneticPr fontId="2" type="noConversion"/>
  </si>
  <si>
    <t>G</t>
    <phoneticPr fontId="2" type="noConversion"/>
  </si>
  <si>
    <t>ADC</t>
    <phoneticPr fontId="2" type="noConversion"/>
  </si>
  <si>
    <t>U상 전류 오프셋</t>
    <phoneticPr fontId="2" type="noConversion"/>
  </si>
  <si>
    <t>V상 전류 오프셋</t>
    <phoneticPr fontId="2" type="noConversion"/>
  </si>
  <si>
    <t>W상 전류 오프셋</t>
    <phoneticPr fontId="2" type="noConversion"/>
  </si>
  <si>
    <t>Hall Encoder U상 오프셋</t>
    <phoneticPr fontId="2" type="noConversion"/>
  </si>
  <si>
    <t>Hall Encoder V상 오프셋</t>
    <phoneticPr fontId="2" type="noConversion"/>
  </si>
  <si>
    <t>Hall Encoder W상 오프셋</t>
    <phoneticPr fontId="2" type="noConversion"/>
  </si>
  <si>
    <t>Hall Encoder U상 이득</t>
    <phoneticPr fontId="2" type="noConversion"/>
  </si>
  <si>
    <t>Hall Encoder V상 이득</t>
    <phoneticPr fontId="2" type="noConversion"/>
  </si>
  <si>
    <t>Hall Encoder W상 이득</t>
    <phoneticPr fontId="2" type="noConversion"/>
  </si>
  <si>
    <t>알람 코드 0x10 ~ 0x1F (related with currents)</t>
    <phoneticPr fontId="2" type="noConversion"/>
  </si>
  <si>
    <t>알람 코드 0x20 ~ 0x2F (related with overload)</t>
    <phoneticPr fontId="2" type="noConversion"/>
  </si>
  <si>
    <t>알람 코드 0x30 ~ 0x3F (related with encoder &amp; motor)</t>
    <phoneticPr fontId="2" type="noConversion"/>
  </si>
  <si>
    <t>알람 코드 0x40 ~ 0x4F (related with voltage)</t>
    <phoneticPr fontId="2" type="noConversion"/>
  </si>
  <si>
    <t>알람 코드 0x50 ~ 0x5F (related with control functions)</t>
    <phoneticPr fontId="2" type="noConversion"/>
  </si>
  <si>
    <t>알람 코드 0x60 ~ 0x6F (related with comm./data backup)</t>
    <phoneticPr fontId="2" type="noConversion"/>
  </si>
  <si>
    <t>알람 코드 0x70 ~ 0x7F (related with system configurations)</t>
    <phoneticPr fontId="2" type="noConversion"/>
  </si>
  <si>
    <t>알람 코드 0x80 ~ 0x8F (ext. encoder alarm)</t>
    <phoneticPr fontId="2" type="noConversion"/>
  </si>
  <si>
    <t>경고 코드</t>
    <phoneticPr fontId="2" type="noConversion"/>
  </si>
  <si>
    <t>Monitor</t>
  </si>
  <si>
    <t>uint16_t[8]</t>
    <phoneticPr fontId="2" type="noConversion"/>
  </si>
  <si>
    <t>0x2006</t>
    <phoneticPr fontId="12" type="noConversion"/>
  </si>
  <si>
    <t>0x2006</t>
    <phoneticPr fontId="2" type="noConversion"/>
  </si>
  <si>
    <t>0x2007</t>
    <phoneticPr fontId="2" type="noConversion"/>
  </si>
  <si>
    <t>0x2008</t>
    <phoneticPr fontId="2" type="noConversion"/>
  </si>
  <si>
    <t>℃</t>
    <phoneticPr fontId="2" type="noConversion"/>
  </si>
  <si>
    <t>string</t>
    <phoneticPr fontId="2" type="noConversion"/>
  </si>
  <si>
    <t>Servo Alarm History - Code 1</t>
    <phoneticPr fontId="2" type="noConversion"/>
  </si>
  <si>
    <t>Servo Alarm History - Code 2</t>
  </si>
  <si>
    <t>Servo Alarm History - Code 3</t>
  </si>
  <si>
    <t>Servo Alarm History - Code 4</t>
  </si>
  <si>
    <t>Servo Alarm History - Code 5</t>
  </si>
  <si>
    <t>Servo Alarm History - Code 6</t>
  </si>
  <si>
    <t>Servo Alarm History - Code 7</t>
  </si>
  <si>
    <t>Servo Alarm History - Code 8</t>
  </si>
  <si>
    <t>Servo Alarm History - Code 9</t>
  </si>
  <si>
    <t>Servo Alarm History - Code 10</t>
  </si>
  <si>
    <t>Servo Alarm History - Code 11</t>
  </si>
  <si>
    <t>Servo Alarm History - Code 12</t>
  </si>
  <si>
    <t>Servo Alarm History - Code 13</t>
  </si>
  <si>
    <t>Servo Alarm History - Code 14</t>
  </si>
  <si>
    <t>Servo Alarm History - Code 15</t>
  </si>
  <si>
    <t>Servo Alarm History - Code 16</t>
  </si>
  <si>
    <t>알람 코드 1 (가장 최근)</t>
    <phoneticPr fontId="2" type="noConversion"/>
  </si>
  <si>
    <t>알람 코드 2</t>
    <phoneticPr fontId="2" type="noConversion"/>
  </si>
  <si>
    <t>알람 코드 6</t>
  </si>
  <si>
    <t>알람 코드 3</t>
    <phoneticPr fontId="2" type="noConversion"/>
  </si>
  <si>
    <t>알람 코드 4</t>
  </si>
  <si>
    <t>알람 코드 5</t>
  </si>
  <si>
    <t>알람 코드 7</t>
  </si>
  <si>
    <t>알람 코드 8</t>
  </si>
  <si>
    <t>알람 코드 9</t>
  </si>
  <si>
    <t>알람 코드 10</t>
  </si>
  <si>
    <t>알람 코드 11</t>
  </si>
  <si>
    <t>알람 코드 12</t>
  </si>
  <si>
    <t>알람 코드 13</t>
  </si>
  <si>
    <t>알람 코드 14</t>
  </si>
  <si>
    <t>알람 코드 15</t>
  </si>
  <si>
    <t>알람 코드 16</t>
  </si>
  <si>
    <t>Servo Alarm History - Alarm 1</t>
    <phoneticPr fontId="2" type="noConversion"/>
  </si>
  <si>
    <t>Servo Alarm History - Alarm 2</t>
    <phoneticPr fontId="2" type="noConversion"/>
  </si>
  <si>
    <t>Servo Alarm History - Alarm 3</t>
  </si>
  <si>
    <t>Servo Alarm History - Alarm 4</t>
  </si>
  <si>
    <t>Servo Alarm History - Alarm 5</t>
  </si>
  <si>
    <t>Servo Alarm History - Alarm 6</t>
  </si>
  <si>
    <t>Servo Alarm History - Alarm 7</t>
  </si>
  <si>
    <t>Servo Alarm History - Alarm 8</t>
  </si>
  <si>
    <t>Servo Alarm History - Alarm 9</t>
  </si>
  <si>
    <t>Servo Alarm History - Alarm 10</t>
  </si>
  <si>
    <t>Servo Alarm History - Alarm 11</t>
  </si>
  <si>
    <t>Servo Alarm History - Alarm 12</t>
  </si>
  <si>
    <t>Servo Alarm History - Alarm 13</t>
  </si>
  <si>
    <t>Servo Alarm History - Alarm 14</t>
  </si>
  <si>
    <t>Servo Alarm History - Alarm 15</t>
  </si>
  <si>
    <t>Servo Alarm History - Alarm 16</t>
  </si>
  <si>
    <t>알람 1 (가장 최근)</t>
    <phoneticPr fontId="2" type="noConversion"/>
  </si>
  <si>
    <t>알람 2</t>
    <phoneticPr fontId="2" type="noConversion"/>
  </si>
  <si>
    <t>알람 3</t>
  </si>
  <si>
    <t>알람 4</t>
  </si>
  <si>
    <t>알람 5</t>
  </si>
  <si>
    <t>알람 6</t>
  </si>
  <si>
    <t>알람 7</t>
  </si>
  <si>
    <t>알람 8</t>
  </si>
  <si>
    <t>알람 9</t>
  </si>
  <si>
    <t>알람 10</t>
  </si>
  <si>
    <t>알람 11</t>
  </si>
  <si>
    <t>알람 12</t>
  </si>
  <si>
    <t>알람 13</t>
  </si>
  <si>
    <t>알람 14</t>
  </si>
  <si>
    <t>알람 15</t>
  </si>
  <si>
    <t>알람 16</t>
  </si>
  <si>
    <t>Index:Sub</t>
    <phoneticPr fontId="2" type="noConversion"/>
  </si>
  <si>
    <t>0xD149</t>
    <phoneticPr fontId="2" type="noConversion"/>
  </si>
  <si>
    <t>가속도 조정 파라미터, 알람 등 모터 정지조건이 감지되면 감속없이 정지함 0 to 64000 ( data bytes * 2.5s )</t>
    <phoneticPr fontId="12" type="noConversion"/>
  </si>
  <si>
    <t>감속도 조정 파라미터, 알람 등 모터 정지조건이 감지되면 감속없이 정지함 64000 to 0 ( data bytes * 2.5s )</t>
    <phoneticPr fontId="2" type="noConversion"/>
  </si>
  <si>
    <t>0xD019</t>
    <phoneticPr fontId="2" type="noConversion"/>
  </si>
  <si>
    <t>Current modulation level</t>
    <phoneticPr fontId="2" type="noConversion"/>
  </si>
  <si>
    <t>0x2700</t>
    <phoneticPr fontId="12" type="noConversion"/>
  </si>
  <si>
    <t>0x2701</t>
    <phoneticPr fontId="12" type="noConversion"/>
  </si>
  <si>
    <t>0x2702</t>
    <phoneticPr fontId="12" type="noConversion"/>
  </si>
  <si>
    <t>0x2703</t>
    <phoneticPr fontId="12" type="noConversion"/>
  </si>
  <si>
    <t>0x2704</t>
    <phoneticPr fontId="12" type="noConversion"/>
  </si>
  <si>
    <t>0x2705</t>
    <phoneticPr fontId="12" type="noConversion"/>
  </si>
  <si>
    <t>0x2706</t>
    <phoneticPr fontId="12" type="noConversion"/>
  </si>
  <si>
    <t>0x2707</t>
    <phoneticPr fontId="12" type="noConversion"/>
  </si>
  <si>
    <t>0x2708</t>
    <phoneticPr fontId="12" type="noConversion"/>
  </si>
  <si>
    <t>0x2709</t>
    <phoneticPr fontId="12" type="noConversion"/>
  </si>
  <si>
    <t>0x270A</t>
    <phoneticPr fontId="12" type="noConversion"/>
  </si>
  <si>
    <t>0x270B</t>
    <phoneticPr fontId="12" type="noConversion"/>
  </si>
  <si>
    <t>0x270C</t>
    <phoneticPr fontId="12" type="noConversion"/>
  </si>
  <si>
    <t>0x270D</t>
    <phoneticPr fontId="12" type="noConversion"/>
  </si>
  <si>
    <t>0x270E</t>
    <phoneticPr fontId="12" type="noConversion"/>
  </si>
  <si>
    <t>0x270F</t>
    <phoneticPr fontId="12" type="noConversion"/>
  </si>
  <si>
    <t>0x2710</t>
    <phoneticPr fontId="12" type="noConversion"/>
  </si>
  <si>
    <t>0x2711</t>
    <phoneticPr fontId="12" type="noConversion"/>
  </si>
  <si>
    <t>0x2712</t>
    <phoneticPr fontId="12" type="noConversion"/>
  </si>
  <si>
    <t>0x2713</t>
    <phoneticPr fontId="12" type="noConversion"/>
  </si>
  <si>
    <t>0x2714</t>
    <phoneticPr fontId="12" type="noConversion"/>
  </si>
  <si>
    <t>0x2715</t>
    <phoneticPr fontId="12" type="noConversion"/>
  </si>
  <si>
    <t>0x2716</t>
    <phoneticPr fontId="12" type="noConversion"/>
  </si>
  <si>
    <t>0x2717</t>
    <phoneticPr fontId="12" type="noConversion"/>
  </si>
  <si>
    <t>0x2718</t>
    <phoneticPr fontId="12" type="noConversion"/>
  </si>
  <si>
    <t>0x2719</t>
    <phoneticPr fontId="12" type="noConversion"/>
  </si>
  <si>
    <t>0x271A</t>
    <phoneticPr fontId="12" type="noConversion"/>
  </si>
  <si>
    <t>0x271B</t>
    <phoneticPr fontId="12" type="noConversion"/>
  </si>
  <si>
    <t>0x271C</t>
    <phoneticPr fontId="12" type="noConversion"/>
  </si>
  <si>
    <t>0x271D</t>
    <phoneticPr fontId="12" type="noConversion"/>
  </si>
  <si>
    <t>0x271E</t>
    <phoneticPr fontId="12" type="noConversion"/>
  </si>
  <si>
    <t>0x271F</t>
    <phoneticPr fontId="12" type="noConversion"/>
  </si>
  <si>
    <t>0xD200</t>
    <phoneticPr fontId="2" type="noConversion"/>
  </si>
  <si>
    <t>Minimum Speed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</si>
</sst>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vertical="center"/>
    </xf>
    <xf numFmtId="0" fontId="1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</cellStyleXfs>
  <cellXfs count="92">
    <xf numFmtId="0" fontId="0" fillId="0" borderId="0" xfId="0"/>
    <xf numFmtId="0" fontId="0" fillId="0" borderId="0" xfId="0" applyBorder="1"/>
    <xf numFmtId="0" fontId="3" fillId="2" borderId="0" xfId="0" applyFont="1" applyFill="1" applyBorder="1"/>
    <xf numFmtId="0" fontId="0" fillId="2" borderId="0" xfId="0" applyFill="1" applyBorder="1"/>
    <xf numFmtId="0" fontId="4" fillId="4" borderId="0" xfId="0" applyFont="1" applyFill="1" applyBorder="1"/>
    <xf numFmtId="0" fontId="0" fillId="4" borderId="0" xfId="0" applyFill="1" applyBorder="1"/>
    <xf numFmtId="0" fontId="5" fillId="5" borderId="3" xfId="1" applyFont="1" applyFill="1" applyBorder="1" applyAlignment="1">
      <alignment horizontal="center" vertical="center"/>
    </xf>
    <xf numFmtId="0" fontId="0" fillId="2" borderId="0" xfId="0" applyFill="1" applyBorder="1" applyAlignment="1">
      <alignment wrapText="1"/>
    </xf>
    <xf numFmtId="0" fontId="0" fillId="4" borderId="0" xfId="0" applyFill="1" applyBorder="1" applyAlignment="1">
      <alignment wrapText="1"/>
    </xf>
    <xf numFmtId="0" fontId="6" fillId="0" borderId="3" xfId="1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3" xfId="0" applyFill="1" applyBorder="1" applyAlignment="1">
      <alignment horizontal="left" vertical="center" wrapText="1"/>
    </xf>
    <xf numFmtId="49" fontId="0" fillId="2" borderId="0" xfId="0" applyNumberFormat="1" applyFill="1" applyBorder="1"/>
    <xf numFmtId="49" fontId="0" fillId="4" borderId="0" xfId="0" applyNumberFormat="1" applyFill="1" applyBorder="1"/>
    <xf numFmtId="49" fontId="0" fillId="0" borderId="3" xfId="0" applyNumberFormat="1" applyBorder="1" applyAlignment="1">
      <alignment horizontal="center" vertical="center"/>
    </xf>
    <xf numFmtId="49" fontId="0" fillId="0" borderId="0" xfId="0" applyNumberFormat="1" applyBorder="1"/>
    <xf numFmtId="0" fontId="5" fillId="5" borderId="5" xfId="1" applyFont="1" applyFill="1" applyBorder="1" applyAlignment="1">
      <alignment horizontal="center" vertical="center"/>
    </xf>
    <xf numFmtId="0" fontId="10" fillId="8" borderId="3" xfId="5" applyBorder="1" applyAlignment="1">
      <alignment horizontal="center" vertical="center"/>
    </xf>
    <xf numFmtId="0" fontId="8" fillId="6" borderId="3" xfId="3" applyBorder="1" applyAlignment="1">
      <alignment horizontal="center" vertical="center"/>
    </xf>
    <xf numFmtId="0" fontId="9" fillId="7" borderId="3" xfId="4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1" fillId="3" borderId="3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2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49" fontId="0" fillId="0" borderId="3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 indent="1"/>
    </xf>
    <xf numFmtId="0" fontId="0" fillId="0" borderId="3" xfId="0" applyFill="1" applyBorder="1" applyAlignment="1">
      <alignment horizontal="left" vertical="center" wrapText="1" indent="1"/>
    </xf>
    <xf numFmtId="0" fontId="0" fillId="0" borderId="3" xfId="0" applyFill="1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49" fontId="0" fillId="2" borderId="0" xfId="0" applyNumberFormat="1" applyFill="1" applyBorder="1" applyAlignment="1">
      <alignment horizontal="center"/>
    </xf>
    <xf numFmtId="49" fontId="0" fillId="4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5" fillId="5" borderId="6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0" fontId="5" fillId="5" borderId="1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0" fillId="0" borderId="3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indent="1"/>
    </xf>
    <xf numFmtId="0" fontId="0" fillId="0" borderId="3" xfId="0" applyFill="1" applyBorder="1" applyAlignment="1">
      <alignment horizontal="left" vertical="center" indent="1"/>
    </xf>
    <xf numFmtId="0" fontId="0" fillId="0" borderId="3" xfId="0" applyFill="1" applyBorder="1" applyAlignment="1">
      <alignment horizontal="left" vertical="center" wrapText="1"/>
    </xf>
    <xf numFmtId="0" fontId="10" fillId="8" borderId="1" xfId="5" applyBorder="1" applyAlignment="1">
      <alignment horizontal="center" vertical="center"/>
    </xf>
    <xf numFmtId="0" fontId="0" fillId="0" borderId="3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indent="1"/>
    </xf>
    <xf numFmtId="0" fontId="0" fillId="0" borderId="3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 indent="1"/>
    </xf>
    <xf numFmtId="0" fontId="0" fillId="0" borderId="3" xfId="0" applyFill="1" applyBorder="1" applyAlignment="1">
      <alignment vertical="center" wrapText="1"/>
    </xf>
    <xf numFmtId="0" fontId="0" fillId="0" borderId="3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 indent="1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/>
    </xf>
    <xf numFmtId="0" fontId="5" fillId="5" borderId="3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7" fillId="3" borderId="1" xfId="1" applyFont="1" applyFill="1" applyBorder="1" applyAlignment="1">
      <alignment horizontal="left" vertical="center" wrapText="1"/>
    </xf>
    <xf numFmtId="0" fontId="7" fillId="3" borderId="4" xfId="1" applyFont="1" applyFill="1" applyBorder="1" applyAlignment="1">
      <alignment horizontal="left" vertical="center" wrapText="1"/>
    </xf>
    <xf numFmtId="0" fontId="7" fillId="3" borderId="2" xfId="1" applyFont="1" applyFill="1" applyBorder="1" applyAlignment="1">
      <alignment horizontal="left" vertical="center" wrapText="1"/>
    </xf>
    <xf numFmtId="49" fontId="5" fillId="5" borderId="1" xfId="1" applyNumberFormat="1" applyFont="1" applyFill="1" applyBorder="1" applyAlignment="1">
      <alignment horizontal="center" vertical="center"/>
    </xf>
    <xf numFmtId="49" fontId="5" fillId="5" borderId="2" xfId="1" applyNumberFormat="1" applyFont="1" applyFill="1" applyBorder="1" applyAlignment="1">
      <alignment horizontal="center" vertical="center"/>
    </xf>
    <xf numFmtId="0" fontId="10" fillId="8" borderId="4" xfId="5" applyBorder="1" applyAlignment="1">
      <alignment horizontal="center" vertical="center"/>
    </xf>
    <xf numFmtId="0" fontId="0" fillId="0" borderId="3" xfId="0" applyFill="1" applyBorder="1" applyAlignment="1">
      <alignment horizontal="left" vertical="center" indent="1"/>
    </xf>
    <xf numFmtId="0" fontId="0" fillId="0" borderId="3" xfId="0" applyFill="1" applyBorder="1" applyAlignment="1">
      <alignment horizontal="left" vertical="center"/>
    </xf>
    <xf numFmtId="0" fontId="5" fillId="5" borderId="1" xfId="1" applyFont="1" applyFill="1" applyBorder="1" applyAlignment="1">
      <alignment horizontal="center" vertical="center"/>
    </xf>
    <xf numFmtId="0" fontId="5" fillId="5" borderId="2" xfId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 wrapText="1"/>
    </xf>
    <xf numFmtId="0" fontId="5" fillId="5" borderId="4" xfId="1" applyFont="1" applyFill="1" applyBorder="1" applyAlignment="1">
      <alignment horizontal="center" vertical="center"/>
    </xf>
    <xf numFmtId="49" fontId="5" fillId="5" borderId="4" xfId="1" applyNumberFormat="1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 wrapText="1"/>
    </xf>
  </cellXfs>
  <cellStyles count="6">
    <cellStyle name="나쁨" xfId="4" builtinId="27"/>
    <cellStyle name="보통" xfId="5" builtinId="28"/>
    <cellStyle name="좋음" xfId="3" builtinId="26"/>
    <cellStyle name="표준" xfId="0" builtinId="0"/>
    <cellStyle name="표준 4" xfId="1" xr:uid="{D202167C-1A88-4DC6-9337-AE400A5A338E}"/>
    <cellStyle name="표준 5" xfId="2" xr:uid="{CED750D4-28A9-4238-AA39-7508181CD314}"/>
  </cellStyles>
  <dxfs count="21"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  <border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  <border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  <border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theme="4" tint="-0.499984740745262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EB9C"/>
      <color rgb="FF9C5700"/>
      <color rgb="FFC6EFCE"/>
      <color rgb="FF006100"/>
      <color rgb="FFFFC7CE"/>
      <color rgb="FF9C00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F57FD-3931-4E83-8157-7E48BD91D8A7}">
  <sheetPr>
    <pageSetUpPr fitToPage="1"/>
  </sheetPr>
  <dimension ref="B2:K43"/>
  <sheetViews>
    <sheetView zoomScale="85" zoomScaleNormal="85" workbookViewId="0">
      <selection activeCell="B2" sqref="B2"/>
    </sheetView>
  </sheetViews>
  <sheetFormatPr defaultRowHeight="17.399999999999999" x14ac:dyDescent="0.4"/>
  <cols>
    <col min="1" max="1" width="8.796875" style="1"/>
    <col min="2" max="3" width="8.796875" style="1" customWidth="1"/>
    <col min="4" max="4" width="8.796875" style="1"/>
    <col min="5" max="5" width="11.59765625" style="1" bestFit="1" customWidth="1"/>
    <col min="6" max="6" width="27.3984375" style="1" bestFit="1" customWidth="1"/>
    <col min="7" max="7" width="8.796875" style="1" customWidth="1"/>
    <col min="8" max="8" width="8.796875" style="1"/>
    <col min="9" max="9" width="8.796875" style="19"/>
    <col min="10" max="10" width="87.69921875" style="13" bestFit="1" customWidth="1"/>
    <col min="12" max="16384" width="8.796875" style="1"/>
  </cols>
  <sheetData>
    <row r="2" spans="2:10" x14ac:dyDescent="0.4">
      <c r="B2" s="2" t="s">
        <v>0</v>
      </c>
      <c r="C2" s="2"/>
      <c r="D2" s="3"/>
      <c r="E2" s="3"/>
      <c r="F2" s="3"/>
      <c r="G2" s="3"/>
      <c r="H2" s="3"/>
      <c r="I2" s="16"/>
      <c r="J2" s="7"/>
    </row>
    <row r="3" spans="2:10" x14ac:dyDescent="0.4">
      <c r="B3" s="4" t="s">
        <v>273</v>
      </c>
      <c r="C3" s="4"/>
      <c r="D3" s="5"/>
      <c r="E3" s="5"/>
      <c r="F3" s="5"/>
      <c r="G3" s="5"/>
      <c r="H3" s="5"/>
      <c r="I3" s="17"/>
      <c r="J3" s="8"/>
    </row>
    <row r="4" spans="2:10" x14ac:dyDescent="0.4">
      <c r="B4" s="63" t="s">
        <v>36</v>
      </c>
      <c r="C4" s="64"/>
      <c r="D4" s="65" t="s">
        <v>38</v>
      </c>
      <c r="E4" s="65" t="s">
        <v>8</v>
      </c>
      <c r="F4" s="65" t="s">
        <v>237</v>
      </c>
      <c r="G4" s="63" t="s">
        <v>1</v>
      </c>
      <c r="H4" s="64"/>
      <c r="I4" s="76" t="s">
        <v>30</v>
      </c>
      <c r="J4" s="66" t="s">
        <v>26</v>
      </c>
    </row>
    <row r="5" spans="2:10" x14ac:dyDescent="0.4">
      <c r="B5" s="46" t="s">
        <v>49</v>
      </c>
      <c r="C5" s="45" t="s">
        <v>37</v>
      </c>
      <c r="D5" s="65"/>
      <c r="E5" s="65"/>
      <c r="F5" s="65"/>
      <c r="G5" s="49" t="s">
        <v>40</v>
      </c>
      <c r="H5" s="49" t="s">
        <v>41</v>
      </c>
      <c r="I5" s="77"/>
      <c r="J5" s="66"/>
    </row>
    <row r="6" spans="2:10" x14ac:dyDescent="0.4">
      <c r="B6" s="14" t="str">
        <f t="shared" ref="B6:B41" si="0">DEC2HEX(8192+C6,4)</f>
        <v>2000</v>
      </c>
      <c r="C6" s="14">
        <v>0</v>
      </c>
      <c r="D6" s="14" t="s">
        <v>45</v>
      </c>
      <c r="E6" s="14" t="s">
        <v>18</v>
      </c>
      <c r="F6" s="39" t="s">
        <v>17</v>
      </c>
      <c r="G6" s="14" t="s">
        <v>2</v>
      </c>
      <c r="H6" s="14" t="s">
        <v>2</v>
      </c>
      <c r="I6" s="18" t="s">
        <v>44</v>
      </c>
      <c r="J6" s="9" t="s">
        <v>50</v>
      </c>
    </row>
    <row r="7" spans="2:10" x14ac:dyDescent="0.4">
      <c r="B7" s="14" t="str">
        <f t="shared" si="0"/>
        <v>2002</v>
      </c>
      <c r="C7" s="14">
        <f t="shared" ref="C7:C41" si="1">C6+2</f>
        <v>2</v>
      </c>
      <c r="D7" s="23" t="s">
        <v>39</v>
      </c>
      <c r="E7" s="14" t="s">
        <v>18</v>
      </c>
      <c r="F7" s="39" t="s">
        <v>24</v>
      </c>
      <c r="G7" s="14" t="s">
        <v>2</v>
      </c>
      <c r="H7" s="14" t="s">
        <v>9</v>
      </c>
      <c r="I7" s="18" t="s">
        <v>44</v>
      </c>
      <c r="J7" s="9"/>
    </row>
    <row r="8" spans="2:10" x14ac:dyDescent="0.4">
      <c r="B8" s="14" t="str">
        <f t="shared" si="0"/>
        <v>2004</v>
      </c>
      <c r="C8" s="14">
        <f t="shared" si="1"/>
        <v>4</v>
      </c>
      <c r="D8" s="23" t="s">
        <v>39</v>
      </c>
      <c r="E8" s="14" t="s">
        <v>18</v>
      </c>
      <c r="F8" s="39" t="s">
        <v>15</v>
      </c>
      <c r="G8" s="14" t="s">
        <v>16</v>
      </c>
      <c r="H8" s="14" t="s">
        <v>9</v>
      </c>
      <c r="I8" s="18" t="s">
        <v>44</v>
      </c>
      <c r="J8" s="9" t="s">
        <v>47</v>
      </c>
    </row>
    <row r="9" spans="2:10" x14ac:dyDescent="0.4">
      <c r="B9" s="14" t="str">
        <f t="shared" si="0"/>
        <v>2006</v>
      </c>
      <c r="C9" s="14">
        <f t="shared" si="1"/>
        <v>6</v>
      </c>
      <c r="D9" s="22" t="s">
        <v>29</v>
      </c>
      <c r="E9" s="14" t="s">
        <v>18</v>
      </c>
      <c r="F9" s="39" t="s">
        <v>46</v>
      </c>
      <c r="G9" s="14" t="s">
        <v>2</v>
      </c>
      <c r="H9" s="14" t="s">
        <v>9</v>
      </c>
      <c r="I9" s="18" t="s">
        <v>44</v>
      </c>
      <c r="J9" s="26" t="s">
        <v>61</v>
      </c>
    </row>
    <row r="10" spans="2:10" x14ac:dyDescent="0.4">
      <c r="B10" s="14" t="str">
        <f t="shared" si="0"/>
        <v>2008</v>
      </c>
      <c r="C10" s="14">
        <f t="shared" si="1"/>
        <v>8</v>
      </c>
      <c r="D10" s="22" t="s">
        <v>29</v>
      </c>
      <c r="E10" s="14" t="s">
        <v>19</v>
      </c>
      <c r="F10" s="39" t="s">
        <v>23</v>
      </c>
      <c r="G10" s="14" t="s">
        <v>2</v>
      </c>
      <c r="H10" s="14" t="s">
        <v>9</v>
      </c>
      <c r="I10" s="18" t="s">
        <v>44</v>
      </c>
      <c r="J10" s="9" t="s">
        <v>358</v>
      </c>
    </row>
    <row r="11" spans="2:10" x14ac:dyDescent="0.4">
      <c r="B11" s="14" t="str">
        <f t="shared" si="0"/>
        <v>200A</v>
      </c>
      <c r="C11" s="14">
        <f t="shared" si="1"/>
        <v>10</v>
      </c>
      <c r="D11" s="22" t="s">
        <v>29</v>
      </c>
      <c r="E11" s="14" t="s">
        <v>18</v>
      </c>
      <c r="F11" s="39" t="s">
        <v>5</v>
      </c>
      <c r="G11" s="14" t="s">
        <v>2</v>
      </c>
      <c r="H11" s="14" t="s">
        <v>9</v>
      </c>
      <c r="I11" s="18" t="s">
        <v>44</v>
      </c>
      <c r="J11" s="26" t="s">
        <v>48</v>
      </c>
    </row>
    <row r="12" spans="2:10" x14ac:dyDescent="0.4">
      <c r="B12" s="14" t="str">
        <f t="shared" si="0"/>
        <v>200C</v>
      </c>
      <c r="C12" s="14">
        <f t="shared" si="1"/>
        <v>12</v>
      </c>
      <c r="D12" s="22" t="s">
        <v>29</v>
      </c>
      <c r="E12" s="14" t="s">
        <v>19</v>
      </c>
      <c r="F12" s="39" t="s">
        <v>3</v>
      </c>
      <c r="G12" s="14" t="s">
        <v>2</v>
      </c>
      <c r="H12" s="14" t="s">
        <v>9</v>
      </c>
      <c r="I12" s="18" t="s">
        <v>31</v>
      </c>
      <c r="J12" s="9" t="s">
        <v>53</v>
      </c>
    </row>
    <row r="13" spans="2:10" x14ac:dyDescent="0.4">
      <c r="B13" s="14" t="str">
        <f t="shared" si="0"/>
        <v>200E</v>
      </c>
      <c r="C13" s="14">
        <f t="shared" si="1"/>
        <v>14</v>
      </c>
      <c r="D13" s="22" t="s">
        <v>29</v>
      </c>
      <c r="E13" s="14" t="s">
        <v>18</v>
      </c>
      <c r="F13" s="39" t="s">
        <v>351</v>
      </c>
      <c r="G13" s="14" t="s">
        <v>2</v>
      </c>
      <c r="H13" s="14" t="s">
        <v>9</v>
      </c>
      <c r="I13" s="18" t="s">
        <v>32</v>
      </c>
      <c r="J13" s="11" t="s">
        <v>52</v>
      </c>
    </row>
    <row r="14" spans="2:10" x14ac:dyDescent="0.4">
      <c r="B14" s="14" t="str">
        <f t="shared" si="0"/>
        <v>2010</v>
      </c>
      <c r="C14" s="14">
        <f t="shared" si="1"/>
        <v>16</v>
      </c>
      <c r="D14" s="22" t="s">
        <v>29</v>
      </c>
      <c r="E14" s="14" t="s">
        <v>18</v>
      </c>
      <c r="F14" s="39" t="s">
        <v>6</v>
      </c>
      <c r="G14" s="14" t="s">
        <v>2</v>
      </c>
      <c r="H14" s="14" t="s">
        <v>9</v>
      </c>
      <c r="I14" s="18" t="s">
        <v>31</v>
      </c>
      <c r="J14" s="10" t="s">
        <v>54</v>
      </c>
    </row>
    <row r="15" spans="2:10" x14ac:dyDescent="0.4">
      <c r="B15" s="14" t="str">
        <f t="shared" si="0"/>
        <v>2012</v>
      </c>
      <c r="C15" s="14">
        <f t="shared" si="1"/>
        <v>18</v>
      </c>
      <c r="D15" s="22" t="s">
        <v>29</v>
      </c>
      <c r="E15" s="14" t="s">
        <v>18</v>
      </c>
      <c r="F15" s="39" t="s">
        <v>7</v>
      </c>
      <c r="G15" s="14" t="s">
        <v>2</v>
      </c>
      <c r="H15" s="14" t="s">
        <v>9</v>
      </c>
      <c r="I15" s="18" t="s">
        <v>31</v>
      </c>
      <c r="J15" s="9" t="s">
        <v>55</v>
      </c>
    </row>
    <row r="16" spans="2:10" x14ac:dyDescent="0.4">
      <c r="B16" s="14" t="str">
        <f t="shared" si="0"/>
        <v>2014</v>
      </c>
      <c r="C16" s="14">
        <f t="shared" si="1"/>
        <v>20</v>
      </c>
      <c r="D16" s="22" t="s">
        <v>29</v>
      </c>
      <c r="E16" s="14" t="s">
        <v>19</v>
      </c>
      <c r="F16" s="39" t="s">
        <v>21</v>
      </c>
      <c r="G16" s="14" t="s">
        <v>2</v>
      </c>
      <c r="H16" s="14" t="s">
        <v>9</v>
      </c>
      <c r="I16" s="18" t="s">
        <v>35</v>
      </c>
      <c r="J16" s="9" t="s">
        <v>56</v>
      </c>
    </row>
    <row r="17" spans="2:10" x14ac:dyDescent="0.4">
      <c r="B17" s="14" t="str">
        <f t="shared" si="0"/>
        <v>2016</v>
      </c>
      <c r="C17" s="14">
        <f t="shared" si="1"/>
        <v>22</v>
      </c>
      <c r="D17" s="22" t="s">
        <v>29</v>
      </c>
      <c r="E17" s="14" t="s">
        <v>18</v>
      </c>
      <c r="F17" s="39" t="s">
        <v>350</v>
      </c>
      <c r="G17" s="14" t="s">
        <v>2</v>
      </c>
      <c r="H17" s="14" t="s">
        <v>9</v>
      </c>
      <c r="I17" s="18" t="s">
        <v>32</v>
      </c>
      <c r="J17" s="11" t="s">
        <v>51</v>
      </c>
    </row>
    <row r="18" spans="2:10" x14ac:dyDescent="0.4">
      <c r="B18" s="14" t="str">
        <f t="shared" si="0"/>
        <v>2018</v>
      </c>
      <c r="C18" s="14">
        <f t="shared" si="1"/>
        <v>24</v>
      </c>
      <c r="D18" s="21" t="s">
        <v>28</v>
      </c>
      <c r="E18" s="14" t="s">
        <v>18</v>
      </c>
      <c r="F18" s="39" t="s">
        <v>10</v>
      </c>
      <c r="G18" s="14" t="s">
        <v>9</v>
      </c>
      <c r="H18" s="14" t="s">
        <v>2</v>
      </c>
      <c r="I18" s="18" t="s">
        <v>25</v>
      </c>
      <c r="J18" s="11" t="s">
        <v>34</v>
      </c>
    </row>
    <row r="19" spans="2:10" x14ac:dyDescent="0.4">
      <c r="B19" s="14" t="str">
        <f t="shared" si="0"/>
        <v>201A</v>
      </c>
      <c r="C19" s="14">
        <f t="shared" si="1"/>
        <v>26</v>
      </c>
      <c r="D19" s="21" t="s">
        <v>28</v>
      </c>
      <c r="E19" s="14" t="s">
        <v>19</v>
      </c>
      <c r="F19" s="39" t="s">
        <v>4</v>
      </c>
      <c r="G19" s="14" t="s">
        <v>9</v>
      </c>
      <c r="H19" s="14" t="s">
        <v>2</v>
      </c>
      <c r="I19" s="18" t="s">
        <v>31</v>
      </c>
      <c r="J19" s="9" t="s">
        <v>57</v>
      </c>
    </row>
    <row r="20" spans="2:10" x14ac:dyDescent="0.4">
      <c r="B20" s="14" t="str">
        <f t="shared" si="0"/>
        <v>201C</v>
      </c>
      <c r="C20" s="14">
        <f t="shared" si="1"/>
        <v>28</v>
      </c>
      <c r="D20" s="21" t="s">
        <v>28</v>
      </c>
      <c r="E20" s="14" t="s">
        <v>19</v>
      </c>
      <c r="F20" s="39" t="s">
        <v>22</v>
      </c>
      <c r="G20" s="14" t="s">
        <v>9</v>
      </c>
      <c r="H20" s="14" t="s">
        <v>2</v>
      </c>
      <c r="I20" s="18" t="s">
        <v>35</v>
      </c>
      <c r="J20" s="9" t="s">
        <v>58</v>
      </c>
    </row>
    <row r="21" spans="2:10" x14ac:dyDescent="0.4">
      <c r="B21" s="14" t="str">
        <f t="shared" si="0"/>
        <v>201E</v>
      </c>
      <c r="C21" s="14">
        <f t="shared" si="1"/>
        <v>30</v>
      </c>
      <c r="D21" s="21" t="s">
        <v>28</v>
      </c>
      <c r="E21" s="14" t="s">
        <v>19</v>
      </c>
      <c r="F21" s="39" t="s">
        <v>12</v>
      </c>
      <c r="G21" s="14" t="s">
        <v>9</v>
      </c>
      <c r="H21" s="14" t="s">
        <v>2</v>
      </c>
      <c r="I21" s="18" t="s">
        <v>33</v>
      </c>
      <c r="J21" s="11" t="s">
        <v>59</v>
      </c>
    </row>
    <row r="22" spans="2:10" x14ac:dyDescent="0.4">
      <c r="B22" s="14" t="str">
        <f t="shared" si="0"/>
        <v>2020</v>
      </c>
      <c r="C22" s="14">
        <f t="shared" si="1"/>
        <v>32</v>
      </c>
      <c r="D22" s="21" t="s">
        <v>28</v>
      </c>
      <c r="E22" s="14" t="s">
        <v>19</v>
      </c>
      <c r="F22" s="39" t="s">
        <v>11</v>
      </c>
      <c r="G22" s="14" t="s">
        <v>9</v>
      </c>
      <c r="H22" s="14" t="s">
        <v>2</v>
      </c>
      <c r="I22" s="18" t="s">
        <v>33</v>
      </c>
      <c r="J22" s="11" t="s">
        <v>60</v>
      </c>
    </row>
    <row r="23" spans="2:10" x14ac:dyDescent="0.4">
      <c r="B23" s="14" t="str">
        <f t="shared" ref="B23:B31" si="2">DEC2HEX(8192+C23,4)</f>
        <v>2022</v>
      </c>
      <c r="C23" s="14">
        <f t="shared" si="1"/>
        <v>34</v>
      </c>
      <c r="D23" s="78" t="s">
        <v>398</v>
      </c>
      <c r="E23" s="68" t="s">
        <v>399</v>
      </c>
      <c r="F23" s="71" t="s">
        <v>42</v>
      </c>
      <c r="G23" s="14" t="s">
        <v>9</v>
      </c>
      <c r="H23" s="14" t="s">
        <v>2</v>
      </c>
      <c r="I23" s="18" t="s">
        <v>44</v>
      </c>
      <c r="J23" s="9" t="s">
        <v>389</v>
      </c>
    </row>
    <row r="24" spans="2:10" x14ac:dyDescent="0.4">
      <c r="B24" s="14" t="str">
        <f t="shared" si="2"/>
        <v>2024</v>
      </c>
      <c r="C24" s="14">
        <f t="shared" si="1"/>
        <v>36</v>
      </c>
      <c r="D24" s="78"/>
      <c r="E24" s="68"/>
      <c r="F24" s="71"/>
      <c r="G24" s="14" t="s">
        <v>9</v>
      </c>
      <c r="H24" s="14" t="s">
        <v>2</v>
      </c>
      <c r="I24" s="18" t="s">
        <v>44</v>
      </c>
      <c r="J24" s="9" t="s">
        <v>390</v>
      </c>
    </row>
    <row r="25" spans="2:10" x14ac:dyDescent="0.4">
      <c r="B25" s="14" t="str">
        <f t="shared" si="2"/>
        <v>2026</v>
      </c>
      <c r="C25" s="14">
        <f t="shared" si="1"/>
        <v>38</v>
      </c>
      <c r="D25" s="78"/>
      <c r="E25" s="68"/>
      <c r="F25" s="71"/>
      <c r="G25" s="14" t="s">
        <v>9</v>
      </c>
      <c r="H25" s="14" t="s">
        <v>2</v>
      </c>
      <c r="I25" s="18" t="s">
        <v>44</v>
      </c>
      <c r="J25" s="9" t="s">
        <v>391</v>
      </c>
    </row>
    <row r="26" spans="2:10" x14ac:dyDescent="0.4">
      <c r="B26" s="14" t="str">
        <f t="shared" si="2"/>
        <v>2028</v>
      </c>
      <c r="C26" s="14">
        <f t="shared" si="1"/>
        <v>40</v>
      </c>
      <c r="D26" s="78"/>
      <c r="E26" s="68"/>
      <c r="F26" s="71"/>
      <c r="G26" s="14" t="s">
        <v>9</v>
      </c>
      <c r="H26" s="14" t="s">
        <v>2</v>
      </c>
      <c r="I26" s="18" t="s">
        <v>44</v>
      </c>
      <c r="J26" s="9" t="s">
        <v>392</v>
      </c>
    </row>
    <row r="27" spans="2:10" x14ac:dyDescent="0.4">
      <c r="B27" s="14" t="str">
        <f t="shared" si="2"/>
        <v>202A</v>
      </c>
      <c r="C27" s="14">
        <f t="shared" si="1"/>
        <v>42</v>
      </c>
      <c r="D27" s="78"/>
      <c r="E27" s="68"/>
      <c r="F27" s="71"/>
      <c r="G27" s="14" t="s">
        <v>9</v>
      </c>
      <c r="H27" s="14" t="s">
        <v>2</v>
      </c>
      <c r="I27" s="18" t="s">
        <v>44</v>
      </c>
      <c r="J27" s="9" t="s">
        <v>393</v>
      </c>
    </row>
    <row r="28" spans="2:10" x14ac:dyDescent="0.4">
      <c r="B28" s="14" t="str">
        <f t="shared" si="2"/>
        <v>202C</v>
      </c>
      <c r="C28" s="14">
        <f t="shared" si="1"/>
        <v>44</v>
      </c>
      <c r="D28" s="78"/>
      <c r="E28" s="68"/>
      <c r="F28" s="71"/>
      <c r="G28" s="14" t="s">
        <v>9</v>
      </c>
      <c r="H28" s="14" t="s">
        <v>2</v>
      </c>
      <c r="I28" s="18" t="s">
        <v>44</v>
      </c>
      <c r="J28" s="9" t="s">
        <v>394</v>
      </c>
    </row>
    <row r="29" spans="2:10" x14ac:dyDescent="0.4">
      <c r="B29" s="14" t="str">
        <f t="shared" si="2"/>
        <v>202E</v>
      </c>
      <c r="C29" s="14">
        <f t="shared" si="1"/>
        <v>46</v>
      </c>
      <c r="D29" s="78"/>
      <c r="E29" s="68"/>
      <c r="F29" s="71"/>
      <c r="G29" s="14" t="s">
        <v>9</v>
      </c>
      <c r="H29" s="14" t="s">
        <v>2</v>
      </c>
      <c r="I29" s="18" t="s">
        <v>44</v>
      </c>
      <c r="J29" s="9" t="s">
        <v>395</v>
      </c>
    </row>
    <row r="30" spans="2:10" x14ac:dyDescent="0.4">
      <c r="B30" s="14" t="str">
        <f t="shared" si="2"/>
        <v>2030</v>
      </c>
      <c r="C30" s="14">
        <f t="shared" si="1"/>
        <v>48</v>
      </c>
      <c r="D30" s="78"/>
      <c r="E30" s="68"/>
      <c r="F30" s="71"/>
      <c r="G30" s="14" t="s">
        <v>9</v>
      </c>
      <c r="H30" s="14" t="s">
        <v>2</v>
      </c>
      <c r="I30" s="18" t="s">
        <v>44</v>
      </c>
      <c r="J30" s="9" t="s">
        <v>396</v>
      </c>
    </row>
    <row r="31" spans="2:10" x14ac:dyDescent="0.4">
      <c r="B31" s="14" t="str">
        <f t="shared" si="2"/>
        <v>2032</v>
      </c>
      <c r="C31" s="14">
        <f t="shared" si="1"/>
        <v>50</v>
      </c>
      <c r="D31" s="54" t="s">
        <v>28</v>
      </c>
      <c r="E31" s="43" t="s">
        <v>18</v>
      </c>
      <c r="F31" s="44" t="s">
        <v>43</v>
      </c>
      <c r="G31" s="14" t="s">
        <v>9</v>
      </c>
      <c r="H31" s="14" t="s">
        <v>2</v>
      </c>
      <c r="I31" s="18" t="s">
        <v>44</v>
      </c>
      <c r="J31" s="9" t="s">
        <v>397</v>
      </c>
    </row>
    <row r="32" spans="2:10" x14ac:dyDescent="0.4">
      <c r="B32" s="14" t="str">
        <f t="shared" si="0"/>
        <v>2034</v>
      </c>
      <c r="C32" s="14">
        <f t="shared" si="1"/>
        <v>52</v>
      </c>
      <c r="D32" s="21" t="s">
        <v>28</v>
      </c>
      <c r="E32" s="14" t="s">
        <v>19</v>
      </c>
      <c r="F32" s="44" t="s">
        <v>346</v>
      </c>
      <c r="G32" s="14" t="s">
        <v>9</v>
      </c>
      <c r="H32" s="14" t="s">
        <v>2</v>
      </c>
      <c r="I32" s="18" t="s">
        <v>44</v>
      </c>
      <c r="J32" s="27"/>
    </row>
    <row r="33" spans="2:10" x14ac:dyDescent="0.4">
      <c r="B33" s="14" t="str">
        <f t="shared" si="0"/>
        <v>2036</v>
      </c>
      <c r="C33" s="14">
        <f t="shared" si="1"/>
        <v>54</v>
      </c>
      <c r="D33" s="21" t="s">
        <v>28</v>
      </c>
      <c r="E33" s="14" t="s">
        <v>19</v>
      </c>
      <c r="F33" s="44" t="s">
        <v>347</v>
      </c>
      <c r="G33" s="14" t="s">
        <v>9</v>
      </c>
      <c r="H33" s="14" t="s">
        <v>2</v>
      </c>
      <c r="I33" s="18" t="s">
        <v>44</v>
      </c>
      <c r="J33" s="27"/>
    </row>
    <row r="34" spans="2:10" x14ac:dyDescent="0.4">
      <c r="B34" s="14" t="str">
        <f t="shared" si="0"/>
        <v>2038</v>
      </c>
      <c r="C34" s="14">
        <f t="shared" si="1"/>
        <v>56</v>
      </c>
      <c r="D34" s="21" t="s">
        <v>28</v>
      </c>
      <c r="E34" s="14" t="s">
        <v>19</v>
      </c>
      <c r="F34" s="44" t="s">
        <v>348</v>
      </c>
      <c r="G34" s="14" t="s">
        <v>9</v>
      </c>
      <c r="H34" s="14" t="s">
        <v>2</v>
      </c>
      <c r="I34" s="18" t="s">
        <v>44</v>
      </c>
      <c r="J34" s="27"/>
    </row>
    <row r="35" spans="2:10" x14ac:dyDescent="0.4">
      <c r="B35" s="14" t="str">
        <f t="shared" si="0"/>
        <v>203A</v>
      </c>
      <c r="C35" s="14">
        <f t="shared" si="1"/>
        <v>58</v>
      </c>
      <c r="D35" s="21" t="s">
        <v>28</v>
      </c>
      <c r="E35" s="14" t="s">
        <v>19</v>
      </c>
      <c r="F35" s="44" t="s">
        <v>349</v>
      </c>
      <c r="G35" s="14" t="s">
        <v>9</v>
      </c>
      <c r="H35" s="14" t="s">
        <v>2</v>
      </c>
      <c r="I35" s="18" t="s">
        <v>44</v>
      </c>
      <c r="J35" s="27"/>
    </row>
    <row r="36" spans="2:10" x14ac:dyDescent="0.4">
      <c r="B36" s="14" t="str">
        <f t="shared" si="0"/>
        <v>203C</v>
      </c>
      <c r="C36" s="14">
        <f t="shared" si="1"/>
        <v>60</v>
      </c>
      <c r="D36" s="67" t="s">
        <v>27</v>
      </c>
      <c r="E36" s="67" t="s">
        <v>20</v>
      </c>
      <c r="F36" s="70" t="s">
        <v>13</v>
      </c>
      <c r="G36" s="67" t="s">
        <v>9</v>
      </c>
      <c r="H36" s="67" t="s">
        <v>16</v>
      </c>
      <c r="I36" s="67" t="s">
        <v>44</v>
      </c>
      <c r="J36" s="73" t="s">
        <v>344</v>
      </c>
    </row>
    <row r="37" spans="2:10" x14ac:dyDescent="0.4">
      <c r="B37" s="14" t="str">
        <f t="shared" si="0"/>
        <v>203E</v>
      </c>
      <c r="C37" s="14">
        <f t="shared" si="1"/>
        <v>62</v>
      </c>
      <c r="D37" s="68"/>
      <c r="E37" s="68"/>
      <c r="F37" s="71"/>
      <c r="G37" s="68"/>
      <c r="H37" s="68"/>
      <c r="I37" s="68"/>
      <c r="J37" s="74"/>
    </row>
    <row r="38" spans="2:10" x14ac:dyDescent="0.4">
      <c r="B38" s="14" t="str">
        <f t="shared" si="0"/>
        <v>2040</v>
      </c>
      <c r="C38" s="14">
        <f t="shared" si="1"/>
        <v>64</v>
      </c>
      <c r="D38" s="69"/>
      <c r="E38" s="69"/>
      <c r="F38" s="72"/>
      <c r="G38" s="69"/>
      <c r="H38" s="69"/>
      <c r="I38" s="69"/>
      <c r="J38" s="75"/>
    </row>
    <row r="39" spans="2:10" x14ac:dyDescent="0.4">
      <c r="B39" s="14" t="str">
        <f t="shared" si="0"/>
        <v>2042</v>
      </c>
      <c r="C39" s="14">
        <f t="shared" si="1"/>
        <v>66</v>
      </c>
      <c r="D39" s="67" t="s">
        <v>27</v>
      </c>
      <c r="E39" s="67" t="s">
        <v>20</v>
      </c>
      <c r="F39" s="70" t="s">
        <v>14</v>
      </c>
      <c r="G39" s="67" t="s">
        <v>9</v>
      </c>
      <c r="H39" s="67" t="s">
        <v>16</v>
      </c>
      <c r="I39" s="67" t="s">
        <v>44</v>
      </c>
      <c r="J39" s="73" t="s">
        <v>343</v>
      </c>
    </row>
    <row r="40" spans="2:10" x14ac:dyDescent="0.4">
      <c r="B40" s="14" t="str">
        <f t="shared" si="0"/>
        <v>2044</v>
      </c>
      <c r="C40" s="14">
        <f t="shared" si="1"/>
        <v>68</v>
      </c>
      <c r="D40" s="68"/>
      <c r="E40" s="68"/>
      <c r="F40" s="71"/>
      <c r="G40" s="68"/>
      <c r="H40" s="68"/>
      <c r="I40" s="68"/>
      <c r="J40" s="74"/>
    </row>
    <row r="41" spans="2:10" x14ac:dyDescent="0.4">
      <c r="B41" s="14" t="str">
        <f t="shared" si="0"/>
        <v>2046</v>
      </c>
      <c r="C41" s="14">
        <f t="shared" si="1"/>
        <v>70</v>
      </c>
      <c r="D41" s="69"/>
      <c r="E41" s="69"/>
      <c r="F41" s="72"/>
      <c r="G41" s="69"/>
      <c r="H41" s="69"/>
      <c r="I41" s="69"/>
      <c r="J41" s="75"/>
    </row>
    <row r="42" spans="2:10" x14ac:dyDescent="0.4">
      <c r="J42" s="12"/>
    </row>
    <row r="43" spans="2:10" x14ac:dyDescent="0.4">
      <c r="J43" s="12"/>
    </row>
  </sheetData>
  <autoFilter ref="B6:J41" xr:uid="{5F4F57FD-3931-4E83-8157-7E48BD91D8A7}"/>
  <mergeCells count="24">
    <mergeCell ref="J39:J41"/>
    <mergeCell ref="E23:E30"/>
    <mergeCell ref="D23:D30"/>
    <mergeCell ref="F23:F30"/>
    <mergeCell ref="D39:D41"/>
    <mergeCell ref="E39:E41"/>
    <mergeCell ref="F39:F41"/>
    <mergeCell ref="G39:G41"/>
    <mergeCell ref="H39:H41"/>
    <mergeCell ref="I39:I41"/>
    <mergeCell ref="J4:J5"/>
    <mergeCell ref="D36:D38"/>
    <mergeCell ref="E36:E38"/>
    <mergeCell ref="F36:F38"/>
    <mergeCell ref="G36:G38"/>
    <mergeCell ref="H36:H38"/>
    <mergeCell ref="I36:I38"/>
    <mergeCell ref="J36:J38"/>
    <mergeCell ref="I4:I5"/>
    <mergeCell ref="B4:C4"/>
    <mergeCell ref="D4:D5"/>
    <mergeCell ref="E4:E5"/>
    <mergeCell ref="F4:F5"/>
    <mergeCell ref="G4:H4"/>
  </mergeCells>
  <phoneticPr fontId="2" type="noConversion"/>
  <conditionalFormatting sqref="G1:H43 G45:H45 G47:H1048576">
    <cfRule type="expression" dxfId="20" priority="1">
      <formula>G1="EEPROM"</formula>
    </cfRule>
    <cfRule type="expression" dxfId="19" priority="2">
      <formula>G1="RO"</formula>
    </cfRule>
    <cfRule type="expression" dxfId="18" priority="3">
      <formula>G1="RW"</formula>
    </cfRule>
  </conditionalFormatting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35A0F-7DC4-482E-AFAD-9EB74FAAA0A7}">
  <sheetPr filterMode="1"/>
  <dimension ref="B2:I102"/>
  <sheetViews>
    <sheetView tabSelected="1" zoomScale="85" zoomScaleNormal="85" workbookViewId="0">
      <selection activeCell="B2" sqref="B2"/>
    </sheetView>
  </sheetViews>
  <sheetFormatPr defaultRowHeight="17.399999999999999" x14ac:dyDescent="0.4"/>
  <cols>
    <col min="2" max="2" width="12.296875" customWidth="1"/>
    <col min="3" max="3" width="12.296875" hidden="1" customWidth="1"/>
    <col min="4" max="4" width="8.796875" style="31" customWidth="1"/>
    <col min="6" max="6" width="45.8984375" bestFit="1" customWidth="1"/>
    <col min="7" max="8" width="8.796875" customWidth="1"/>
    <col min="9" max="9" width="114.8984375" style="28" bestFit="1" customWidth="1"/>
  </cols>
  <sheetData>
    <row r="2" spans="2:9" x14ac:dyDescent="0.4">
      <c r="B2" s="2" t="s">
        <v>0</v>
      </c>
      <c r="C2" s="2"/>
      <c r="D2" s="29"/>
      <c r="E2" s="3"/>
      <c r="F2" s="3"/>
      <c r="G2" s="3"/>
      <c r="H2" s="16"/>
      <c r="I2" s="7"/>
    </row>
    <row r="3" spans="2:9" x14ac:dyDescent="0.4">
      <c r="B3" s="4" t="s">
        <v>274</v>
      </c>
      <c r="C3" s="4"/>
      <c r="D3" s="30"/>
      <c r="E3" s="5"/>
      <c r="F3" s="5"/>
      <c r="G3" s="5"/>
      <c r="H3" s="17"/>
      <c r="I3" s="8"/>
    </row>
    <row r="4" spans="2:9" x14ac:dyDescent="0.4">
      <c r="B4" s="20" t="s">
        <v>235</v>
      </c>
      <c r="C4" s="20" t="s">
        <v>236</v>
      </c>
      <c r="D4" s="81" t="s">
        <v>238</v>
      </c>
      <c r="E4" s="65" t="s">
        <v>8</v>
      </c>
      <c r="F4" s="65" t="s">
        <v>237</v>
      </c>
      <c r="G4" s="81" t="s">
        <v>1</v>
      </c>
      <c r="H4" s="76" t="s">
        <v>30</v>
      </c>
      <c r="I4" s="66" t="s">
        <v>26</v>
      </c>
    </row>
    <row r="5" spans="2:9" x14ac:dyDescent="0.4">
      <c r="B5" s="6" t="s">
        <v>49</v>
      </c>
      <c r="C5" s="6" t="s">
        <v>49</v>
      </c>
      <c r="D5" s="82"/>
      <c r="E5" s="65"/>
      <c r="F5" s="65"/>
      <c r="G5" s="82"/>
      <c r="H5" s="77"/>
      <c r="I5" s="66"/>
    </row>
    <row r="6" spans="2:9" x14ac:dyDescent="0.4">
      <c r="B6" s="25" t="s">
        <v>62</v>
      </c>
      <c r="C6" s="25" t="s">
        <v>63</v>
      </c>
      <c r="D6" s="25">
        <v>1</v>
      </c>
      <c r="E6" s="25" t="s">
        <v>18</v>
      </c>
      <c r="F6" s="36" t="s">
        <v>64</v>
      </c>
      <c r="G6" s="25" t="s">
        <v>2</v>
      </c>
      <c r="H6" s="32" t="s">
        <v>44</v>
      </c>
      <c r="I6" s="15" t="s">
        <v>239</v>
      </c>
    </row>
    <row r="7" spans="2:9" x14ac:dyDescent="0.4">
      <c r="B7" s="25" t="s">
        <v>65</v>
      </c>
      <c r="C7" s="25" t="s">
        <v>66</v>
      </c>
      <c r="D7" s="25">
        <v>1</v>
      </c>
      <c r="E7" s="25" t="s">
        <v>18</v>
      </c>
      <c r="F7" s="36" t="s">
        <v>67</v>
      </c>
      <c r="G7" s="25" t="s">
        <v>2</v>
      </c>
      <c r="H7" s="25"/>
      <c r="I7" s="15" t="s">
        <v>275</v>
      </c>
    </row>
    <row r="8" spans="2:9" hidden="1" x14ac:dyDescent="0.4">
      <c r="B8" s="25" t="s">
        <v>68</v>
      </c>
      <c r="C8" s="25" t="s">
        <v>44</v>
      </c>
      <c r="D8" s="25">
        <v>2</v>
      </c>
      <c r="E8" s="25" t="s">
        <v>18</v>
      </c>
      <c r="F8" s="36" t="s">
        <v>69</v>
      </c>
      <c r="G8" s="25" t="s">
        <v>9</v>
      </c>
      <c r="H8" s="25"/>
      <c r="I8" s="33" t="s">
        <v>70</v>
      </c>
    </row>
    <row r="9" spans="2:9" hidden="1" x14ac:dyDescent="0.4">
      <c r="B9" s="25" t="s">
        <v>71</v>
      </c>
      <c r="C9" s="25" t="s">
        <v>44</v>
      </c>
      <c r="D9" s="25">
        <v>3</v>
      </c>
      <c r="E9" s="25" t="s">
        <v>18</v>
      </c>
      <c r="F9" s="36" t="s">
        <v>72</v>
      </c>
      <c r="G9" s="25" t="s">
        <v>9</v>
      </c>
      <c r="H9" s="25"/>
      <c r="I9" s="33" t="s">
        <v>73</v>
      </c>
    </row>
    <row r="10" spans="2:9" hidden="1" x14ac:dyDescent="0.4">
      <c r="B10" s="25" t="s">
        <v>74</v>
      </c>
      <c r="C10" s="25" t="s">
        <v>44</v>
      </c>
      <c r="D10" s="25">
        <v>3</v>
      </c>
      <c r="E10" s="25" t="s">
        <v>18</v>
      </c>
      <c r="F10" s="36" t="s">
        <v>75</v>
      </c>
      <c r="G10" s="25" t="s">
        <v>9</v>
      </c>
      <c r="H10" s="25"/>
      <c r="I10" s="33" t="s">
        <v>76</v>
      </c>
    </row>
    <row r="11" spans="2:9" hidden="1" x14ac:dyDescent="0.4">
      <c r="B11" s="25" t="s">
        <v>77</v>
      </c>
      <c r="C11" s="25" t="s">
        <v>44</v>
      </c>
      <c r="D11" s="25">
        <v>3</v>
      </c>
      <c r="E11" s="25" t="s">
        <v>18</v>
      </c>
      <c r="F11" s="36" t="s">
        <v>78</v>
      </c>
      <c r="G11" s="25" t="s">
        <v>2</v>
      </c>
      <c r="H11" s="25"/>
      <c r="I11" s="15" t="s">
        <v>249</v>
      </c>
    </row>
    <row r="12" spans="2:9" hidden="1" x14ac:dyDescent="0.4">
      <c r="B12" s="25" t="s">
        <v>79</v>
      </c>
      <c r="C12" s="25" t="s">
        <v>44</v>
      </c>
      <c r="D12" s="25">
        <v>2</v>
      </c>
      <c r="E12" s="25" t="s">
        <v>18</v>
      </c>
      <c r="F12" s="36" t="s">
        <v>80</v>
      </c>
      <c r="G12" s="25" t="s">
        <v>2</v>
      </c>
      <c r="H12" s="25"/>
      <c r="I12" s="15" t="s">
        <v>250</v>
      </c>
    </row>
    <row r="13" spans="2:9" x14ac:dyDescent="0.4">
      <c r="B13" s="25" t="s">
        <v>81</v>
      </c>
      <c r="C13" s="25" t="s">
        <v>82</v>
      </c>
      <c r="D13" s="25">
        <v>1</v>
      </c>
      <c r="E13" s="25" t="s">
        <v>18</v>
      </c>
      <c r="F13" s="36" t="s">
        <v>83</v>
      </c>
      <c r="G13" s="25" t="s">
        <v>2</v>
      </c>
      <c r="H13" s="25"/>
      <c r="I13" s="33" t="s">
        <v>84</v>
      </c>
    </row>
    <row r="14" spans="2:9" x14ac:dyDescent="0.4">
      <c r="B14" s="25" t="s">
        <v>85</v>
      </c>
      <c r="C14" s="25" t="s">
        <v>401</v>
      </c>
      <c r="D14" s="25">
        <v>1</v>
      </c>
      <c r="E14" s="25" t="s">
        <v>18</v>
      </c>
      <c r="F14" s="36" t="s">
        <v>86</v>
      </c>
      <c r="G14" s="25" t="s">
        <v>2</v>
      </c>
      <c r="H14" s="25"/>
      <c r="I14" s="15" t="s">
        <v>276</v>
      </c>
    </row>
    <row r="15" spans="2:9" x14ac:dyDescent="0.4">
      <c r="B15" s="25" t="s">
        <v>87</v>
      </c>
      <c r="C15" s="25" t="s">
        <v>88</v>
      </c>
      <c r="D15" s="25">
        <v>1</v>
      </c>
      <c r="E15" s="25" t="s">
        <v>18</v>
      </c>
      <c r="F15" s="36" t="s">
        <v>89</v>
      </c>
      <c r="G15" s="25" t="s">
        <v>2</v>
      </c>
      <c r="H15" s="25"/>
      <c r="I15" s="15" t="s">
        <v>251</v>
      </c>
    </row>
    <row r="16" spans="2:9" x14ac:dyDescent="0.4">
      <c r="B16" s="25" t="s">
        <v>261</v>
      </c>
      <c r="C16" s="25" t="s">
        <v>90</v>
      </c>
      <c r="D16" s="25">
        <v>1</v>
      </c>
      <c r="E16" s="25" t="s">
        <v>18</v>
      </c>
      <c r="F16" s="36" t="s">
        <v>263</v>
      </c>
      <c r="G16" s="25" t="s">
        <v>2</v>
      </c>
      <c r="H16" s="25"/>
      <c r="I16" s="15" t="s">
        <v>240</v>
      </c>
    </row>
    <row r="17" spans="2:9" hidden="1" x14ac:dyDescent="0.4">
      <c r="B17" s="25" t="s">
        <v>262</v>
      </c>
      <c r="C17" s="25" t="s">
        <v>44</v>
      </c>
      <c r="D17" s="25">
        <v>2</v>
      </c>
      <c r="E17" s="25" t="s">
        <v>18</v>
      </c>
      <c r="F17" s="36" t="s">
        <v>264</v>
      </c>
      <c r="G17" s="25" t="s">
        <v>2</v>
      </c>
      <c r="H17" s="25"/>
      <c r="I17" s="15" t="s">
        <v>252</v>
      </c>
    </row>
    <row r="18" spans="2:9" x14ac:dyDescent="0.4">
      <c r="B18" s="25" t="s">
        <v>91</v>
      </c>
      <c r="C18" s="25" t="s">
        <v>44</v>
      </c>
      <c r="D18" s="25">
        <v>1</v>
      </c>
      <c r="E18" s="25" t="s">
        <v>18</v>
      </c>
      <c r="F18" s="36" t="s">
        <v>92</v>
      </c>
      <c r="G18" s="25" t="s">
        <v>9</v>
      </c>
      <c r="H18" s="25"/>
      <c r="I18" s="15" t="s">
        <v>241</v>
      </c>
    </row>
    <row r="19" spans="2:9" hidden="1" x14ac:dyDescent="0.4">
      <c r="B19" s="25" t="s">
        <v>93</v>
      </c>
      <c r="C19" s="25" t="s">
        <v>44</v>
      </c>
      <c r="D19" s="25">
        <v>2</v>
      </c>
      <c r="E19" s="25" t="s">
        <v>18</v>
      </c>
      <c r="F19" s="36" t="s">
        <v>94</v>
      </c>
      <c r="G19" s="25" t="s">
        <v>9</v>
      </c>
      <c r="H19" s="25" t="s">
        <v>35</v>
      </c>
      <c r="I19" s="15" t="s">
        <v>242</v>
      </c>
    </row>
    <row r="20" spans="2:9" x14ac:dyDescent="0.4">
      <c r="B20" s="25" t="s">
        <v>95</v>
      </c>
      <c r="C20" s="25" t="s">
        <v>44</v>
      </c>
      <c r="D20" s="25">
        <v>1</v>
      </c>
      <c r="E20" s="25" t="s">
        <v>18</v>
      </c>
      <c r="F20" s="36" t="s">
        <v>96</v>
      </c>
      <c r="G20" s="25" t="s">
        <v>2</v>
      </c>
      <c r="H20" s="25"/>
      <c r="I20" s="60" t="s">
        <v>472</v>
      </c>
    </row>
    <row r="21" spans="2:9" x14ac:dyDescent="0.4">
      <c r="B21" s="25" t="s">
        <v>97</v>
      </c>
      <c r="C21" s="25" t="s">
        <v>44</v>
      </c>
      <c r="D21" s="25">
        <v>1</v>
      </c>
      <c r="E21" s="25" t="s">
        <v>18</v>
      </c>
      <c r="F21" s="36" t="s">
        <v>98</v>
      </c>
      <c r="G21" s="25" t="s">
        <v>2</v>
      </c>
      <c r="H21" s="25"/>
      <c r="I21" s="60" t="s">
        <v>473</v>
      </c>
    </row>
    <row r="22" spans="2:9" hidden="1" x14ac:dyDescent="0.4">
      <c r="B22" s="25" t="s">
        <v>272</v>
      </c>
      <c r="C22" s="25" t="s">
        <v>44</v>
      </c>
      <c r="D22" s="25">
        <v>2</v>
      </c>
      <c r="E22" s="25" t="s">
        <v>18</v>
      </c>
      <c r="F22" s="36" t="s">
        <v>265</v>
      </c>
      <c r="G22" s="25" t="s">
        <v>2</v>
      </c>
      <c r="H22" s="25"/>
      <c r="I22" s="88" t="s">
        <v>99</v>
      </c>
    </row>
    <row r="23" spans="2:9" hidden="1" x14ac:dyDescent="0.4">
      <c r="B23" s="25" t="s">
        <v>271</v>
      </c>
      <c r="C23" s="25" t="s">
        <v>44</v>
      </c>
      <c r="D23" s="25">
        <v>2</v>
      </c>
      <c r="E23" s="25" t="s">
        <v>18</v>
      </c>
      <c r="F23" s="36" t="s">
        <v>266</v>
      </c>
      <c r="G23" s="25" t="s">
        <v>2</v>
      </c>
      <c r="H23" s="25"/>
      <c r="I23" s="88"/>
    </row>
    <row r="24" spans="2:9" hidden="1" x14ac:dyDescent="0.4">
      <c r="B24" s="25" t="s">
        <v>270</v>
      </c>
      <c r="C24" s="25" t="s">
        <v>44</v>
      </c>
      <c r="D24" s="25">
        <v>2</v>
      </c>
      <c r="E24" s="25" t="s">
        <v>18</v>
      </c>
      <c r="F24" s="36" t="s">
        <v>267</v>
      </c>
      <c r="G24" s="25" t="s">
        <v>2</v>
      </c>
      <c r="H24" s="25"/>
      <c r="I24" s="88"/>
    </row>
    <row r="25" spans="2:9" hidden="1" x14ac:dyDescent="0.4">
      <c r="B25" s="25" t="s">
        <v>269</v>
      </c>
      <c r="C25" s="25" t="s">
        <v>44</v>
      </c>
      <c r="D25" s="25">
        <v>2</v>
      </c>
      <c r="E25" s="25" t="s">
        <v>18</v>
      </c>
      <c r="F25" s="36" t="s">
        <v>268</v>
      </c>
      <c r="G25" s="25" t="s">
        <v>2</v>
      </c>
      <c r="H25" s="25"/>
      <c r="I25" s="88"/>
    </row>
    <row r="26" spans="2:9" hidden="1" x14ac:dyDescent="0.4">
      <c r="B26" s="25" t="s">
        <v>100</v>
      </c>
      <c r="C26" s="25" t="s">
        <v>44</v>
      </c>
      <c r="D26" s="25">
        <v>2</v>
      </c>
      <c r="E26" s="25" t="s">
        <v>18</v>
      </c>
      <c r="F26" s="36" t="s">
        <v>101</v>
      </c>
      <c r="G26" s="25" t="s">
        <v>9</v>
      </c>
      <c r="H26" s="25"/>
      <c r="I26" s="15" t="s">
        <v>243</v>
      </c>
    </row>
    <row r="27" spans="2:9" hidden="1" x14ac:dyDescent="0.4">
      <c r="B27" s="25" t="s">
        <v>102</v>
      </c>
      <c r="C27" s="25" t="s">
        <v>44</v>
      </c>
      <c r="D27" s="25">
        <v>2</v>
      </c>
      <c r="E27" s="25" t="s">
        <v>18</v>
      </c>
      <c r="F27" s="36" t="s">
        <v>103</v>
      </c>
      <c r="G27" s="25" t="s">
        <v>9</v>
      </c>
      <c r="H27" s="25"/>
      <c r="I27" s="15" t="s">
        <v>104</v>
      </c>
    </row>
    <row r="28" spans="2:9" hidden="1" x14ac:dyDescent="0.4">
      <c r="B28" s="25" t="s">
        <v>105</v>
      </c>
      <c r="C28" s="25" t="s">
        <v>44</v>
      </c>
      <c r="D28" s="25">
        <v>3</v>
      </c>
      <c r="E28" s="25" t="s">
        <v>18</v>
      </c>
      <c r="F28" s="37" t="s">
        <v>256</v>
      </c>
      <c r="G28" s="25" t="s">
        <v>9</v>
      </c>
      <c r="H28" s="25"/>
      <c r="I28" s="88" t="s">
        <v>106</v>
      </c>
    </row>
    <row r="29" spans="2:9" hidden="1" x14ac:dyDescent="0.4">
      <c r="B29" s="25" t="s">
        <v>107</v>
      </c>
      <c r="C29" s="25" t="s">
        <v>44</v>
      </c>
      <c r="D29" s="25">
        <v>3</v>
      </c>
      <c r="E29" s="25" t="s">
        <v>18</v>
      </c>
      <c r="F29" s="37" t="s">
        <v>257</v>
      </c>
      <c r="G29" s="25" t="s">
        <v>9</v>
      </c>
      <c r="H29" s="25"/>
      <c r="I29" s="88"/>
    </row>
    <row r="30" spans="2:9" hidden="1" x14ac:dyDescent="0.4">
      <c r="B30" s="25" t="s">
        <v>108</v>
      </c>
      <c r="C30" s="25" t="s">
        <v>44</v>
      </c>
      <c r="D30" s="25">
        <v>3</v>
      </c>
      <c r="E30" s="25" t="s">
        <v>18</v>
      </c>
      <c r="F30" s="37" t="s">
        <v>258</v>
      </c>
      <c r="G30" s="25" t="s">
        <v>9</v>
      </c>
      <c r="H30" s="25"/>
      <c r="I30" s="88"/>
    </row>
    <row r="31" spans="2:9" hidden="1" x14ac:dyDescent="0.4">
      <c r="B31" s="25" t="s">
        <v>109</v>
      </c>
      <c r="C31" s="25" t="s">
        <v>44</v>
      </c>
      <c r="D31" s="25">
        <v>3</v>
      </c>
      <c r="E31" s="25" t="s">
        <v>18</v>
      </c>
      <c r="F31" s="37" t="s">
        <v>259</v>
      </c>
      <c r="G31" s="25" t="s">
        <v>9</v>
      </c>
      <c r="H31" s="25"/>
      <c r="I31" s="88"/>
    </row>
    <row r="32" spans="2:9" hidden="1" x14ac:dyDescent="0.4">
      <c r="B32" s="25" t="s">
        <v>110</v>
      </c>
      <c r="C32" s="25" t="s">
        <v>44</v>
      </c>
      <c r="D32" s="25">
        <v>3</v>
      </c>
      <c r="E32" s="25" t="s">
        <v>18</v>
      </c>
      <c r="F32" s="37" t="s">
        <v>260</v>
      </c>
      <c r="G32" s="25" t="s">
        <v>9</v>
      </c>
      <c r="H32" s="25"/>
      <c r="I32" s="88"/>
    </row>
    <row r="33" spans="2:9" x14ac:dyDescent="0.4">
      <c r="B33" s="25" t="s">
        <v>111</v>
      </c>
      <c r="C33" s="25" t="s">
        <v>112</v>
      </c>
      <c r="D33" s="25">
        <v>1</v>
      </c>
      <c r="E33" s="25" t="s">
        <v>18</v>
      </c>
      <c r="F33" s="36" t="s">
        <v>113</v>
      </c>
      <c r="G33" s="25" t="s">
        <v>9</v>
      </c>
      <c r="H33" s="25" t="s">
        <v>279</v>
      </c>
      <c r="I33" s="15" t="s">
        <v>280</v>
      </c>
    </row>
    <row r="34" spans="2:9" hidden="1" x14ac:dyDescent="0.4">
      <c r="B34" s="25" t="s">
        <v>114</v>
      </c>
      <c r="C34" s="25" t="s">
        <v>44</v>
      </c>
      <c r="D34" s="25">
        <v>2</v>
      </c>
      <c r="E34" s="25" t="s">
        <v>18</v>
      </c>
      <c r="F34" s="37" t="s">
        <v>247</v>
      </c>
      <c r="G34" s="25" t="s">
        <v>9</v>
      </c>
      <c r="H34" s="25"/>
      <c r="I34" s="15" t="s">
        <v>248</v>
      </c>
    </row>
    <row r="35" spans="2:9" x14ac:dyDescent="0.4">
      <c r="B35" s="25" t="s">
        <v>471</v>
      </c>
      <c r="C35" s="25" t="s">
        <v>44</v>
      </c>
      <c r="D35" s="25">
        <v>1</v>
      </c>
      <c r="E35" s="25" t="s">
        <v>18</v>
      </c>
      <c r="F35" s="36" t="s">
        <v>116</v>
      </c>
      <c r="G35" s="25" t="s">
        <v>9</v>
      </c>
      <c r="H35" s="25"/>
      <c r="I35" s="15" t="s">
        <v>253</v>
      </c>
    </row>
    <row r="36" spans="2:9" x14ac:dyDescent="0.4">
      <c r="B36" s="25" t="s">
        <v>117</v>
      </c>
      <c r="C36" s="25" t="s">
        <v>44</v>
      </c>
      <c r="D36" s="25">
        <v>1</v>
      </c>
      <c r="E36" s="25" t="s">
        <v>18</v>
      </c>
      <c r="F36" s="36" t="s">
        <v>118</v>
      </c>
      <c r="G36" s="25" t="s">
        <v>9</v>
      </c>
      <c r="H36" s="25"/>
      <c r="I36" s="15" t="s">
        <v>254</v>
      </c>
    </row>
    <row r="37" spans="2:9" hidden="1" x14ac:dyDescent="0.4">
      <c r="B37" s="25" t="s">
        <v>119</v>
      </c>
      <c r="C37" s="25" t="s">
        <v>44</v>
      </c>
      <c r="D37" s="25">
        <v>3</v>
      </c>
      <c r="E37" s="25" t="s">
        <v>18</v>
      </c>
      <c r="F37" s="36" t="s">
        <v>120</v>
      </c>
      <c r="G37" s="25" t="s">
        <v>9</v>
      </c>
      <c r="H37" s="25"/>
      <c r="I37" s="88" t="s">
        <v>245</v>
      </c>
    </row>
    <row r="38" spans="2:9" hidden="1" x14ac:dyDescent="0.4">
      <c r="B38" s="25" t="s">
        <v>121</v>
      </c>
      <c r="C38" s="25" t="s">
        <v>44</v>
      </c>
      <c r="D38" s="25">
        <v>3</v>
      </c>
      <c r="E38" s="25" t="s">
        <v>18</v>
      </c>
      <c r="F38" s="36" t="s">
        <v>122</v>
      </c>
      <c r="G38" s="25" t="s">
        <v>9</v>
      </c>
      <c r="H38" s="25"/>
      <c r="I38" s="88"/>
    </row>
    <row r="39" spans="2:9" hidden="1" x14ac:dyDescent="0.4">
      <c r="B39" s="25" t="s">
        <v>123</v>
      </c>
      <c r="C39" s="25" t="s">
        <v>44</v>
      </c>
      <c r="D39" s="25">
        <v>3</v>
      </c>
      <c r="E39" s="25" t="s">
        <v>18</v>
      </c>
      <c r="F39" s="36" t="s">
        <v>124</v>
      </c>
      <c r="G39" s="25" t="s">
        <v>9</v>
      </c>
      <c r="H39" s="25"/>
      <c r="I39" s="88"/>
    </row>
    <row r="40" spans="2:9" hidden="1" x14ac:dyDescent="0.4">
      <c r="B40" s="25" t="s">
        <v>125</v>
      </c>
      <c r="C40" s="25" t="s">
        <v>44</v>
      </c>
      <c r="D40" s="25">
        <v>2</v>
      </c>
      <c r="E40" s="25" t="s">
        <v>18</v>
      </c>
      <c r="F40" s="36" t="s">
        <v>126</v>
      </c>
      <c r="G40" s="25" t="s">
        <v>2</v>
      </c>
      <c r="H40" s="25"/>
      <c r="I40" s="15" t="s">
        <v>244</v>
      </c>
    </row>
    <row r="41" spans="2:9" hidden="1" x14ac:dyDescent="0.4">
      <c r="B41" s="25" t="s">
        <v>127</v>
      </c>
      <c r="C41" s="25" t="s">
        <v>44</v>
      </c>
      <c r="D41" s="25">
        <v>2</v>
      </c>
      <c r="E41" s="25" t="s">
        <v>18</v>
      </c>
      <c r="F41" s="36" t="s">
        <v>128</v>
      </c>
      <c r="G41" s="25" t="s">
        <v>9</v>
      </c>
      <c r="H41" s="25"/>
      <c r="I41" s="33" t="s">
        <v>129</v>
      </c>
    </row>
    <row r="42" spans="2:9" hidden="1" x14ac:dyDescent="0.4">
      <c r="B42" s="25" t="s">
        <v>130</v>
      </c>
      <c r="C42" s="25" t="s">
        <v>44</v>
      </c>
      <c r="D42" s="25">
        <v>3</v>
      </c>
      <c r="E42" s="25" t="s">
        <v>18</v>
      </c>
      <c r="F42" s="36" t="s">
        <v>131</v>
      </c>
      <c r="G42" s="25" t="s">
        <v>2</v>
      </c>
      <c r="H42" s="25" t="s">
        <v>44</v>
      </c>
      <c r="I42" s="80" t="s">
        <v>132</v>
      </c>
    </row>
    <row r="43" spans="2:9" hidden="1" x14ac:dyDescent="0.4">
      <c r="B43" s="25" t="s">
        <v>133</v>
      </c>
      <c r="C43" s="25" t="s">
        <v>44</v>
      </c>
      <c r="D43" s="25">
        <v>3</v>
      </c>
      <c r="E43" s="25" t="s">
        <v>18</v>
      </c>
      <c r="F43" s="36" t="s">
        <v>134</v>
      </c>
      <c r="G43" s="25" t="s">
        <v>2</v>
      </c>
      <c r="H43" s="25" t="s">
        <v>44</v>
      </c>
      <c r="I43" s="80"/>
    </row>
    <row r="44" spans="2:9" hidden="1" x14ac:dyDescent="0.4">
      <c r="B44" s="25" t="s">
        <v>135</v>
      </c>
      <c r="C44" s="25" t="s">
        <v>44</v>
      </c>
      <c r="D44" s="25">
        <v>3</v>
      </c>
      <c r="E44" s="25" t="s">
        <v>18</v>
      </c>
      <c r="F44" s="36" t="s">
        <v>136</v>
      </c>
      <c r="G44" s="25" t="s">
        <v>2</v>
      </c>
      <c r="H44" s="25" t="s">
        <v>44</v>
      </c>
      <c r="I44" s="80"/>
    </row>
    <row r="45" spans="2:9" hidden="1" x14ac:dyDescent="0.4">
      <c r="B45" s="25" t="s">
        <v>137</v>
      </c>
      <c r="C45" s="25" t="s">
        <v>44</v>
      </c>
      <c r="D45" s="83">
        <v>3</v>
      </c>
      <c r="E45" s="25" t="s">
        <v>18</v>
      </c>
      <c r="F45" s="79" t="s">
        <v>138</v>
      </c>
      <c r="G45" s="25" t="s">
        <v>2</v>
      </c>
      <c r="H45" s="25" t="s">
        <v>44</v>
      </c>
      <c r="I45" s="80" t="s">
        <v>139</v>
      </c>
    </row>
    <row r="46" spans="2:9" hidden="1" x14ac:dyDescent="0.4">
      <c r="B46" s="25" t="s">
        <v>140</v>
      </c>
      <c r="C46" s="25" t="s">
        <v>44</v>
      </c>
      <c r="D46" s="84"/>
      <c r="E46" s="25" t="s">
        <v>18</v>
      </c>
      <c r="F46" s="79"/>
      <c r="G46" s="25" t="s">
        <v>2</v>
      </c>
      <c r="H46" s="25" t="s">
        <v>44</v>
      </c>
      <c r="I46" s="80"/>
    </row>
    <row r="47" spans="2:9" hidden="1" x14ac:dyDescent="0.4">
      <c r="B47" s="25" t="s">
        <v>141</v>
      </c>
      <c r="C47" s="25" t="s">
        <v>44</v>
      </c>
      <c r="D47" s="84"/>
      <c r="E47" s="25" t="s">
        <v>18</v>
      </c>
      <c r="F47" s="79"/>
      <c r="G47" s="25" t="s">
        <v>2</v>
      </c>
      <c r="H47" s="25" t="s">
        <v>44</v>
      </c>
      <c r="I47" s="80"/>
    </row>
    <row r="48" spans="2:9" hidden="1" x14ac:dyDescent="0.4">
      <c r="B48" s="25" t="s">
        <v>142</v>
      </c>
      <c r="C48" s="25" t="s">
        <v>44</v>
      </c>
      <c r="D48" s="84"/>
      <c r="E48" s="25" t="s">
        <v>18</v>
      </c>
      <c r="F48" s="79"/>
      <c r="G48" s="25" t="s">
        <v>2</v>
      </c>
      <c r="H48" s="25" t="s">
        <v>44</v>
      </c>
      <c r="I48" s="80"/>
    </row>
    <row r="49" spans="2:9" hidden="1" x14ac:dyDescent="0.4">
      <c r="B49" s="25" t="s">
        <v>143</v>
      </c>
      <c r="C49" s="25" t="s">
        <v>44</v>
      </c>
      <c r="D49" s="84"/>
      <c r="E49" s="25" t="s">
        <v>18</v>
      </c>
      <c r="F49" s="79"/>
      <c r="G49" s="25" t="s">
        <v>2</v>
      </c>
      <c r="H49" s="25" t="s">
        <v>44</v>
      </c>
      <c r="I49" s="80"/>
    </row>
    <row r="50" spans="2:9" hidden="1" x14ac:dyDescent="0.4">
      <c r="B50" s="25" t="s">
        <v>144</v>
      </c>
      <c r="C50" s="25" t="s">
        <v>44</v>
      </c>
      <c r="D50" s="84"/>
      <c r="E50" s="25" t="s">
        <v>18</v>
      </c>
      <c r="F50" s="79"/>
      <c r="G50" s="25" t="s">
        <v>2</v>
      </c>
      <c r="H50" s="25" t="s">
        <v>44</v>
      </c>
      <c r="I50" s="80"/>
    </row>
    <row r="51" spans="2:9" hidden="1" x14ac:dyDescent="0.4">
      <c r="B51" s="25" t="s">
        <v>145</v>
      </c>
      <c r="C51" s="25" t="s">
        <v>44</v>
      </c>
      <c r="D51" s="84"/>
      <c r="E51" s="25" t="s">
        <v>18</v>
      </c>
      <c r="F51" s="79"/>
      <c r="G51" s="25" t="s">
        <v>2</v>
      </c>
      <c r="H51" s="25" t="s">
        <v>44</v>
      </c>
      <c r="I51" s="80"/>
    </row>
    <row r="52" spans="2:9" hidden="1" x14ac:dyDescent="0.4">
      <c r="B52" s="25" t="s">
        <v>146</v>
      </c>
      <c r="C52" s="25" t="s">
        <v>44</v>
      </c>
      <c r="D52" s="84"/>
      <c r="E52" s="25" t="s">
        <v>18</v>
      </c>
      <c r="F52" s="79"/>
      <c r="G52" s="25" t="s">
        <v>2</v>
      </c>
      <c r="H52" s="25" t="s">
        <v>44</v>
      </c>
      <c r="I52" s="80"/>
    </row>
    <row r="53" spans="2:9" hidden="1" x14ac:dyDescent="0.4">
      <c r="B53" s="25" t="s">
        <v>147</v>
      </c>
      <c r="C53" s="25" t="s">
        <v>44</v>
      </c>
      <c r="D53" s="84"/>
      <c r="E53" s="25" t="s">
        <v>18</v>
      </c>
      <c r="F53" s="79"/>
      <c r="G53" s="25" t="s">
        <v>2</v>
      </c>
      <c r="H53" s="25" t="s">
        <v>44</v>
      </c>
      <c r="I53" s="80"/>
    </row>
    <row r="54" spans="2:9" hidden="1" x14ac:dyDescent="0.4">
      <c r="B54" s="25" t="s">
        <v>148</v>
      </c>
      <c r="C54" s="25" t="s">
        <v>44</v>
      </c>
      <c r="D54" s="84"/>
      <c r="E54" s="25" t="s">
        <v>18</v>
      </c>
      <c r="F54" s="79"/>
      <c r="G54" s="25" t="s">
        <v>2</v>
      </c>
      <c r="H54" s="25" t="s">
        <v>44</v>
      </c>
      <c r="I54" s="80"/>
    </row>
    <row r="55" spans="2:9" hidden="1" x14ac:dyDescent="0.4">
      <c r="B55" s="25" t="s">
        <v>149</v>
      </c>
      <c r="C55" s="25" t="s">
        <v>44</v>
      </c>
      <c r="D55" s="84"/>
      <c r="E55" s="25" t="s">
        <v>18</v>
      </c>
      <c r="F55" s="79"/>
      <c r="G55" s="25" t="s">
        <v>2</v>
      </c>
      <c r="H55" s="25" t="s">
        <v>44</v>
      </c>
      <c r="I55" s="80"/>
    </row>
    <row r="56" spans="2:9" hidden="1" x14ac:dyDescent="0.4">
      <c r="B56" s="25" t="s">
        <v>150</v>
      </c>
      <c r="C56" s="25" t="s">
        <v>44</v>
      </c>
      <c r="D56" s="84"/>
      <c r="E56" s="25" t="s">
        <v>18</v>
      </c>
      <c r="F56" s="79"/>
      <c r="G56" s="25" t="s">
        <v>2</v>
      </c>
      <c r="H56" s="25" t="s">
        <v>44</v>
      </c>
      <c r="I56" s="80"/>
    </row>
    <row r="57" spans="2:9" hidden="1" x14ac:dyDescent="0.4">
      <c r="B57" s="25" t="s">
        <v>151</v>
      </c>
      <c r="C57" s="25" t="s">
        <v>44</v>
      </c>
      <c r="D57" s="84"/>
      <c r="E57" s="25" t="s">
        <v>18</v>
      </c>
      <c r="F57" s="79"/>
      <c r="G57" s="25" t="s">
        <v>2</v>
      </c>
      <c r="H57" s="25" t="s">
        <v>44</v>
      </c>
      <c r="I57" s="80"/>
    </row>
    <row r="58" spans="2:9" hidden="1" x14ac:dyDescent="0.4">
      <c r="B58" s="25" t="s">
        <v>152</v>
      </c>
      <c r="C58" s="25" t="s">
        <v>44</v>
      </c>
      <c r="D58" s="84"/>
      <c r="E58" s="25" t="s">
        <v>18</v>
      </c>
      <c r="F58" s="79"/>
      <c r="G58" s="25" t="s">
        <v>2</v>
      </c>
      <c r="H58" s="25" t="s">
        <v>44</v>
      </c>
      <c r="I58" s="80"/>
    </row>
    <row r="59" spans="2:9" hidden="1" x14ac:dyDescent="0.4">
      <c r="B59" s="25" t="s">
        <v>153</v>
      </c>
      <c r="C59" s="25" t="s">
        <v>44</v>
      </c>
      <c r="D59" s="84"/>
      <c r="E59" s="25" t="s">
        <v>18</v>
      </c>
      <c r="F59" s="79"/>
      <c r="G59" s="25" t="s">
        <v>2</v>
      </c>
      <c r="H59" s="25" t="s">
        <v>44</v>
      </c>
      <c r="I59" s="80"/>
    </row>
    <row r="60" spans="2:9" hidden="1" x14ac:dyDescent="0.4">
      <c r="B60" s="25" t="s">
        <v>154</v>
      </c>
      <c r="C60" s="25" t="s">
        <v>44</v>
      </c>
      <c r="D60" s="85"/>
      <c r="E60" s="25" t="s">
        <v>18</v>
      </c>
      <c r="F60" s="79"/>
      <c r="G60" s="25" t="s">
        <v>2</v>
      </c>
      <c r="H60" s="25" t="s">
        <v>44</v>
      </c>
      <c r="I60" s="80"/>
    </row>
    <row r="61" spans="2:9" hidden="1" x14ac:dyDescent="0.4">
      <c r="B61" s="25" t="s">
        <v>155</v>
      </c>
      <c r="C61" s="25" t="s">
        <v>44</v>
      </c>
      <c r="D61" s="25">
        <v>3</v>
      </c>
      <c r="E61" s="25" t="s">
        <v>18</v>
      </c>
      <c r="F61" s="37" t="s">
        <v>246</v>
      </c>
      <c r="G61" s="25" t="s">
        <v>9</v>
      </c>
      <c r="H61" s="25" t="s">
        <v>345</v>
      </c>
      <c r="I61" s="33" t="s">
        <v>156</v>
      </c>
    </row>
    <row r="62" spans="2:9" hidden="1" x14ac:dyDescent="0.4">
      <c r="B62" s="25" t="s">
        <v>157</v>
      </c>
      <c r="C62" s="25" t="s">
        <v>44</v>
      </c>
      <c r="D62" s="25">
        <v>2</v>
      </c>
      <c r="E62" s="25" t="s">
        <v>18</v>
      </c>
      <c r="F62" s="36" t="s">
        <v>158</v>
      </c>
      <c r="G62" s="25" t="s">
        <v>9</v>
      </c>
      <c r="H62" s="25" t="s">
        <v>44</v>
      </c>
      <c r="I62" s="33" t="s">
        <v>159</v>
      </c>
    </row>
    <row r="63" spans="2:9" hidden="1" x14ac:dyDescent="0.4">
      <c r="B63" s="25" t="s">
        <v>160</v>
      </c>
      <c r="C63" s="25" t="s">
        <v>44</v>
      </c>
      <c r="D63" s="25">
        <v>2</v>
      </c>
      <c r="E63" s="25" t="s">
        <v>18</v>
      </c>
      <c r="F63" s="36" t="s">
        <v>161</v>
      </c>
      <c r="G63" s="25" t="s">
        <v>9</v>
      </c>
      <c r="H63" s="25" t="s">
        <v>44</v>
      </c>
      <c r="I63" s="33" t="s">
        <v>162</v>
      </c>
    </row>
    <row r="64" spans="2:9" hidden="1" x14ac:dyDescent="0.4">
      <c r="B64" s="25" t="s">
        <v>163</v>
      </c>
      <c r="C64" s="25" t="s">
        <v>44</v>
      </c>
      <c r="D64" s="25">
        <v>2</v>
      </c>
      <c r="E64" s="25" t="s">
        <v>18</v>
      </c>
      <c r="F64" s="36" t="s">
        <v>164</v>
      </c>
      <c r="G64" s="25" t="s">
        <v>9</v>
      </c>
      <c r="H64" s="25"/>
      <c r="I64" s="80" t="s">
        <v>165</v>
      </c>
    </row>
    <row r="65" spans="2:9" hidden="1" x14ac:dyDescent="0.4">
      <c r="B65" s="25" t="s">
        <v>166</v>
      </c>
      <c r="C65" s="25" t="s">
        <v>44</v>
      </c>
      <c r="D65" s="25">
        <v>2</v>
      </c>
      <c r="E65" s="25" t="s">
        <v>18</v>
      </c>
      <c r="F65" s="36" t="s">
        <v>167</v>
      </c>
      <c r="G65" s="25" t="s">
        <v>9</v>
      </c>
      <c r="H65" s="25" t="s">
        <v>44</v>
      </c>
      <c r="I65" s="80"/>
    </row>
    <row r="66" spans="2:9" hidden="1" x14ac:dyDescent="0.4">
      <c r="B66" s="25" t="s">
        <v>168</v>
      </c>
      <c r="C66" s="25" t="s">
        <v>44</v>
      </c>
      <c r="D66" s="25">
        <v>2</v>
      </c>
      <c r="E66" s="25" t="s">
        <v>18</v>
      </c>
      <c r="F66" s="36" t="s">
        <v>169</v>
      </c>
      <c r="G66" s="25" t="s">
        <v>9</v>
      </c>
      <c r="H66" s="25"/>
      <c r="I66" s="80"/>
    </row>
    <row r="67" spans="2:9" hidden="1" x14ac:dyDescent="0.4">
      <c r="B67" s="25" t="s">
        <v>170</v>
      </c>
      <c r="C67" s="25" t="s">
        <v>44</v>
      </c>
      <c r="D67" s="25">
        <v>2</v>
      </c>
      <c r="E67" s="25" t="s">
        <v>18</v>
      </c>
      <c r="F67" s="36" t="s">
        <v>171</v>
      </c>
      <c r="G67" s="25" t="s">
        <v>9</v>
      </c>
      <c r="H67" s="25" t="s">
        <v>44</v>
      </c>
      <c r="I67" s="80"/>
    </row>
    <row r="68" spans="2:9" hidden="1" x14ac:dyDescent="0.4">
      <c r="B68" s="25" t="s">
        <v>172</v>
      </c>
      <c r="C68" s="25" t="s">
        <v>44</v>
      </c>
      <c r="D68" s="25">
        <v>2</v>
      </c>
      <c r="E68" s="25" t="s">
        <v>18</v>
      </c>
      <c r="F68" s="36" t="s">
        <v>173</v>
      </c>
      <c r="G68" s="25" t="s">
        <v>9</v>
      </c>
      <c r="H68" s="25"/>
      <c r="I68" s="80"/>
    </row>
    <row r="69" spans="2:9" hidden="1" x14ac:dyDescent="0.4">
      <c r="B69" s="25" t="s">
        <v>174</v>
      </c>
      <c r="C69" s="25" t="s">
        <v>44</v>
      </c>
      <c r="D69" s="25">
        <v>2</v>
      </c>
      <c r="E69" s="25" t="s">
        <v>18</v>
      </c>
      <c r="F69" s="36" t="s">
        <v>175</v>
      </c>
      <c r="G69" s="25" t="s">
        <v>9</v>
      </c>
      <c r="H69" s="25" t="s">
        <v>44</v>
      </c>
      <c r="I69" s="80"/>
    </row>
    <row r="70" spans="2:9" hidden="1" x14ac:dyDescent="0.4">
      <c r="B70" s="25" t="s">
        <v>176</v>
      </c>
      <c r="C70" s="25" t="s">
        <v>44</v>
      </c>
      <c r="D70" s="25">
        <v>2</v>
      </c>
      <c r="E70" s="25" t="s">
        <v>18</v>
      </c>
      <c r="F70" s="36" t="s">
        <v>177</v>
      </c>
      <c r="G70" s="25" t="s">
        <v>9</v>
      </c>
      <c r="H70" s="25"/>
      <c r="I70" s="80"/>
    </row>
    <row r="71" spans="2:9" hidden="1" x14ac:dyDescent="0.4">
      <c r="B71" s="25" t="s">
        <v>178</v>
      </c>
      <c r="C71" s="25" t="s">
        <v>44</v>
      </c>
      <c r="D71" s="25">
        <v>2</v>
      </c>
      <c r="E71" s="25" t="s">
        <v>18</v>
      </c>
      <c r="F71" s="36" t="s">
        <v>179</v>
      </c>
      <c r="G71" s="25" t="s">
        <v>9</v>
      </c>
      <c r="H71" s="25" t="s">
        <v>44</v>
      </c>
      <c r="I71" s="80"/>
    </row>
    <row r="72" spans="2:9" hidden="1" x14ac:dyDescent="0.4">
      <c r="B72" s="25" t="s">
        <v>180</v>
      </c>
      <c r="C72" s="25" t="s">
        <v>44</v>
      </c>
      <c r="D72" s="25">
        <v>2</v>
      </c>
      <c r="E72" s="25" t="s">
        <v>18</v>
      </c>
      <c r="F72" s="36" t="s">
        <v>181</v>
      </c>
      <c r="G72" s="25" t="s">
        <v>9</v>
      </c>
      <c r="H72" s="25"/>
      <c r="I72" s="80"/>
    </row>
    <row r="73" spans="2:9" hidden="1" x14ac:dyDescent="0.4">
      <c r="B73" s="25" t="s">
        <v>182</v>
      </c>
      <c r="C73" s="25" t="s">
        <v>44</v>
      </c>
      <c r="D73" s="25">
        <v>2</v>
      </c>
      <c r="E73" s="25" t="s">
        <v>18</v>
      </c>
      <c r="F73" s="36" t="s">
        <v>183</v>
      </c>
      <c r="G73" s="25" t="s">
        <v>9</v>
      </c>
      <c r="H73" s="25" t="s">
        <v>44</v>
      </c>
      <c r="I73" s="80"/>
    </row>
    <row r="74" spans="2:9" hidden="1" x14ac:dyDescent="0.4">
      <c r="B74" s="25" t="s">
        <v>184</v>
      </c>
      <c r="C74" s="25" t="s">
        <v>44</v>
      </c>
      <c r="D74" s="25">
        <v>2</v>
      </c>
      <c r="E74" s="25" t="s">
        <v>18</v>
      </c>
      <c r="F74" s="36" t="s">
        <v>185</v>
      </c>
      <c r="G74" s="25" t="s">
        <v>9</v>
      </c>
      <c r="H74" s="25"/>
      <c r="I74" s="80"/>
    </row>
    <row r="75" spans="2:9" hidden="1" x14ac:dyDescent="0.4">
      <c r="B75" s="25" t="s">
        <v>186</v>
      </c>
      <c r="C75" s="25" t="s">
        <v>44</v>
      </c>
      <c r="D75" s="25">
        <v>2</v>
      </c>
      <c r="E75" s="25" t="s">
        <v>18</v>
      </c>
      <c r="F75" s="36" t="s">
        <v>187</v>
      </c>
      <c r="G75" s="25" t="s">
        <v>9</v>
      </c>
      <c r="H75" s="25" t="s">
        <v>44</v>
      </c>
      <c r="I75" s="80"/>
    </row>
    <row r="76" spans="2:9" hidden="1" x14ac:dyDescent="0.4">
      <c r="B76" s="25" t="s">
        <v>188</v>
      </c>
      <c r="C76" s="25" t="s">
        <v>44</v>
      </c>
      <c r="D76" s="25">
        <v>2</v>
      </c>
      <c r="E76" s="25" t="s">
        <v>18</v>
      </c>
      <c r="F76" s="36" t="s">
        <v>189</v>
      </c>
      <c r="G76" s="25" t="s">
        <v>9</v>
      </c>
      <c r="H76" s="25"/>
      <c r="I76" s="80"/>
    </row>
    <row r="77" spans="2:9" hidden="1" x14ac:dyDescent="0.4">
      <c r="B77" s="25" t="s">
        <v>190</v>
      </c>
      <c r="C77" s="25" t="s">
        <v>44</v>
      </c>
      <c r="D77" s="25">
        <v>2</v>
      </c>
      <c r="E77" s="25" t="s">
        <v>18</v>
      </c>
      <c r="F77" s="36" t="s">
        <v>191</v>
      </c>
      <c r="G77" s="25" t="s">
        <v>9</v>
      </c>
      <c r="H77" s="25" t="s">
        <v>44</v>
      </c>
      <c r="I77" s="80"/>
    </row>
    <row r="78" spans="2:9" hidden="1" x14ac:dyDescent="0.4">
      <c r="B78" s="25" t="s">
        <v>192</v>
      </c>
      <c r="C78" s="25" t="s">
        <v>44</v>
      </c>
      <c r="D78" s="25">
        <v>2</v>
      </c>
      <c r="E78" s="25" t="s">
        <v>18</v>
      </c>
      <c r="F78" s="36" t="s">
        <v>193</v>
      </c>
      <c r="G78" s="25" t="s">
        <v>9</v>
      </c>
      <c r="H78" s="25"/>
      <c r="I78" s="80"/>
    </row>
    <row r="79" spans="2:9" hidden="1" x14ac:dyDescent="0.4">
      <c r="B79" s="25" t="s">
        <v>194</v>
      </c>
      <c r="C79" s="25" t="s">
        <v>44</v>
      </c>
      <c r="D79" s="25">
        <v>2</v>
      </c>
      <c r="E79" s="25" t="s">
        <v>18</v>
      </c>
      <c r="F79" s="36" t="s">
        <v>195</v>
      </c>
      <c r="G79" s="25" t="s">
        <v>9</v>
      </c>
      <c r="H79" s="25" t="s">
        <v>44</v>
      </c>
      <c r="I79" s="80"/>
    </row>
    <row r="80" spans="2:9" hidden="1" x14ac:dyDescent="0.4">
      <c r="B80" s="25" t="s">
        <v>196</v>
      </c>
      <c r="C80" s="25" t="s">
        <v>44</v>
      </c>
      <c r="D80" s="25">
        <v>2</v>
      </c>
      <c r="E80" s="25" t="s">
        <v>18</v>
      </c>
      <c r="F80" s="36" t="s">
        <v>197</v>
      </c>
      <c r="G80" s="25" t="s">
        <v>9</v>
      </c>
      <c r="H80" s="25"/>
      <c r="I80" s="80"/>
    </row>
    <row r="81" spans="2:9" hidden="1" x14ac:dyDescent="0.4">
      <c r="B81" s="25" t="s">
        <v>198</v>
      </c>
      <c r="C81" s="25" t="s">
        <v>44</v>
      </c>
      <c r="D81" s="25">
        <v>2</v>
      </c>
      <c r="E81" s="25" t="s">
        <v>18</v>
      </c>
      <c r="F81" s="36" t="s">
        <v>199</v>
      </c>
      <c r="G81" s="25" t="s">
        <v>9</v>
      </c>
      <c r="H81" s="25" t="s">
        <v>44</v>
      </c>
      <c r="I81" s="80"/>
    </row>
    <row r="82" spans="2:9" hidden="1" x14ac:dyDescent="0.4">
      <c r="B82" s="25" t="s">
        <v>200</v>
      </c>
      <c r="C82" s="25" t="s">
        <v>44</v>
      </c>
      <c r="D82" s="25">
        <v>2</v>
      </c>
      <c r="E82" s="25" t="s">
        <v>18</v>
      </c>
      <c r="F82" s="36" t="s">
        <v>201</v>
      </c>
      <c r="G82" s="25" t="s">
        <v>9</v>
      </c>
      <c r="H82" s="25"/>
      <c r="I82" s="80"/>
    </row>
    <row r="83" spans="2:9" hidden="1" x14ac:dyDescent="0.4">
      <c r="B83" s="25" t="s">
        <v>202</v>
      </c>
      <c r="C83" s="25" t="s">
        <v>44</v>
      </c>
      <c r="D83" s="25">
        <v>2</v>
      </c>
      <c r="E83" s="25" t="s">
        <v>18</v>
      </c>
      <c r="F83" s="36" t="s">
        <v>203</v>
      </c>
      <c r="G83" s="25" t="s">
        <v>9</v>
      </c>
      <c r="H83" s="25" t="s">
        <v>44</v>
      </c>
      <c r="I83" s="80"/>
    </row>
    <row r="84" spans="2:9" hidden="1" x14ac:dyDescent="0.4">
      <c r="B84" s="25" t="s">
        <v>204</v>
      </c>
      <c r="C84" s="25" t="s">
        <v>44</v>
      </c>
      <c r="D84" s="25">
        <v>2</v>
      </c>
      <c r="E84" s="25" t="s">
        <v>18</v>
      </c>
      <c r="F84" s="36" t="s">
        <v>205</v>
      </c>
      <c r="G84" s="25" t="s">
        <v>9</v>
      </c>
      <c r="H84" s="25"/>
      <c r="I84" s="80"/>
    </row>
    <row r="85" spans="2:9" hidden="1" x14ac:dyDescent="0.4">
      <c r="B85" s="25" t="s">
        <v>206</v>
      </c>
      <c r="C85" s="25" t="s">
        <v>44</v>
      </c>
      <c r="D85" s="25">
        <v>2</v>
      </c>
      <c r="E85" s="25" t="s">
        <v>18</v>
      </c>
      <c r="F85" s="36" t="s">
        <v>207</v>
      </c>
      <c r="G85" s="25" t="s">
        <v>9</v>
      </c>
      <c r="H85" s="25" t="s">
        <v>44</v>
      </c>
      <c r="I85" s="80"/>
    </row>
    <row r="86" spans="2:9" hidden="1" x14ac:dyDescent="0.4">
      <c r="B86" s="25" t="s">
        <v>208</v>
      </c>
      <c r="C86" s="25" t="s">
        <v>44</v>
      </c>
      <c r="D86" s="25">
        <v>2</v>
      </c>
      <c r="E86" s="25" t="s">
        <v>18</v>
      </c>
      <c r="F86" s="36" t="s">
        <v>209</v>
      </c>
      <c r="G86" s="25" t="s">
        <v>9</v>
      </c>
      <c r="H86" s="25"/>
      <c r="I86" s="80"/>
    </row>
    <row r="87" spans="2:9" hidden="1" x14ac:dyDescent="0.4">
      <c r="B87" s="25" t="s">
        <v>210</v>
      </c>
      <c r="C87" s="25" t="s">
        <v>44</v>
      </c>
      <c r="D87" s="25">
        <v>2</v>
      </c>
      <c r="E87" s="25" t="s">
        <v>18</v>
      </c>
      <c r="F87" s="36" t="s">
        <v>211</v>
      </c>
      <c r="G87" s="25" t="s">
        <v>9</v>
      </c>
      <c r="H87" s="25" t="s">
        <v>44</v>
      </c>
      <c r="I87" s="80"/>
    </row>
    <row r="88" spans="2:9" hidden="1" x14ac:dyDescent="0.4">
      <c r="B88" s="25" t="s">
        <v>212</v>
      </c>
      <c r="C88" s="25" t="s">
        <v>44</v>
      </c>
      <c r="D88" s="25">
        <v>2</v>
      </c>
      <c r="E88" s="25" t="s">
        <v>18</v>
      </c>
      <c r="F88" s="36" t="s">
        <v>213</v>
      </c>
      <c r="G88" s="25" t="s">
        <v>9</v>
      </c>
      <c r="H88" s="25"/>
      <c r="I88" s="80"/>
    </row>
    <row r="89" spans="2:9" hidden="1" x14ac:dyDescent="0.4">
      <c r="B89" s="25" t="s">
        <v>214</v>
      </c>
      <c r="C89" s="25" t="s">
        <v>44</v>
      </c>
      <c r="D89" s="25">
        <v>2</v>
      </c>
      <c r="E89" s="25" t="s">
        <v>18</v>
      </c>
      <c r="F89" s="36" t="s">
        <v>215</v>
      </c>
      <c r="G89" s="25" t="s">
        <v>9</v>
      </c>
      <c r="H89" s="25" t="s">
        <v>44</v>
      </c>
      <c r="I89" s="80"/>
    </row>
    <row r="90" spans="2:9" hidden="1" x14ac:dyDescent="0.4">
      <c r="B90" s="25" t="s">
        <v>216</v>
      </c>
      <c r="C90" s="25" t="s">
        <v>44</v>
      </c>
      <c r="D90" s="25">
        <v>2</v>
      </c>
      <c r="E90" s="25" t="s">
        <v>18</v>
      </c>
      <c r="F90" s="36" t="s">
        <v>217</v>
      </c>
      <c r="G90" s="25" t="s">
        <v>9</v>
      </c>
      <c r="H90" s="25"/>
      <c r="I90" s="80"/>
    </row>
    <row r="91" spans="2:9" hidden="1" x14ac:dyDescent="0.4">
      <c r="B91" s="25" t="s">
        <v>218</v>
      </c>
      <c r="C91" s="25" t="s">
        <v>44</v>
      </c>
      <c r="D91" s="83">
        <v>3</v>
      </c>
      <c r="E91" s="25" t="s">
        <v>18</v>
      </c>
      <c r="F91" s="79" t="s">
        <v>219</v>
      </c>
      <c r="G91" s="25" t="s">
        <v>9</v>
      </c>
      <c r="H91" s="25" t="s">
        <v>44</v>
      </c>
      <c r="I91" s="86" t="s">
        <v>278</v>
      </c>
    </row>
    <row r="92" spans="2:9" hidden="1" x14ac:dyDescent="0.4">
      <c r="B92" s="25" t="s">
        <v>220</v>
      </c>
      <c r="C92" s="25" t="s">
        <v>44</v>
      </c>
      <c r="D92" s="85"/>
      <c r="E92" s="25" t="s">
        <v>18</v>
      </c>
      <c r="F92" s="79"/>
      <c r="G92" s="25" t="s">
        <v>9</v>
      </c>
      <c r="H92" s="25" t="s">
        <v>44</v>
      </c>
      <c r="I92" s="87"/>
    </row>
    <row r="93" spans="2:9" hidden="1" x14ac:dyDescent="0.4">
      <c r="B93" s="25" t="s">
        <v>221</v>
      </c>
      <c r="C93" s="25" t="s">
        <v>44</v>
      </c>
      <c r="D93" s="25">
        <v>3</v>
      </c>
      <c r="E93" s="25" t="s">
        <v>18</v>
      </c>
      <c r="F93" s="36" t="s">
        <v>222</v>
      </c>
      <c r="G93" s="25" t="s">
        <v>9</v>
      </c>
      <c r="H93" s="25" t="s">
        <v>44</v>
      </c>
      <c r="I93" s="33" t="s">
        <v>255</v>
      </c>
    </row>
    <row r="94" spans="2:9" hidden="1" x14ac:dyDescent="0.4">
      <c r="B94" s="25" t="s">
        <v>223</v>
      </c>
      <c r="C94" s="25" t="s">
        <v>44</v>
      </c>
      <c r="D94" s="83">
        <v>3</v>
      </c>
      <c r="E94" s="25" t="s">
        <v>18</v>
      </c>
      <c r="F94" s="79" t="s">
        <v>224</v>
      </c>
      <c r="G94" s="25" t="s">
        <v>9</v>
      </c>
      <c r="H94" s="25" t="s">
        <v>44</v>
      </c>
      <c r="I94" s="80" t="s">
        <v>277</v>
      </c>
    </row>
    <row r="95" spans="2:9" hidden="1" x14ac:dyDescent="0.4">
      <c r="B95" s="25" t="s">
        <v>225</v>
      </c>
      <c r="C95" s="25" t="s">
        <v>44</v>
      </c>
      <c r="D95" s="84"/>
      <c r="E95" s="25" t="s">
        <v>18</v>
      </c>
      <c r="F95" s="79"/>
      <c r="G95" s="25" t="s">
        <v>9</v>
      </c>
      <c r="H95" s="25" t="s">
        <v>44</v>
      </c>
      <c r="I95" s="80"/>
    </row>
    <row r="96" spans="2:9" hidden="1" x14ac:dyDescent="0.4">
      <c r="B96" s="25" t="s">
        <v>226</v>
      </c>
      <c r="C96" s="25" t="s">
        <v>44</v>
      </c>
      <c r="D96" s="84"/>
      <c r="E96" s="25" t="s">
        <v>18</v>
      </c>
      <c r="F96" s="79"/>
      <c r="G96" s="25" t="s">
        <v>9</v>
      </c>
      <c r="H96" s="25" t="s">
        <v>44</v>
      </c>
      <c r="I96" s="80"/>
    </row>
    <row r="97" spans="2:9" hidden="1" x14ac:dyDescent="0.4">
      <c r="B97" s="25" t="s">
        <v>227</v>
      </c>
      <c r="C97" s="25" t="s">
        <v>44</v>
      </c>
      <c r="D97" s="84"/>
      <c r="E97" s="25" t="s">
        <v>18</v>
      </c>
      <c r="F97" s="79"/>
      <c r="G97" s="25" t="s">
        <v>9</v>
      </c>
      <c r="H97" s="25" t="s">
        <v>44</v>
      </c>
      <c r="I97" s="80"/>
    </row>
    <row r="98" spans="2:9" hidden="1" x14ac:dyDescent="0.4">
      <c r="B98" s="25" t="s">
        <v>228</v>
      </c>
      <c r="C98" s="25" t="s">
        <v>44</v>
      </c>
      <c r="D98" s="84"/>
      <c r="E98" s="25" t="s">
        <v>18</v>
      </c>
      <c r="F98" s="79"/>
      <c r="G98" s="25" t="s">
        <v>9</v>
      </c>
      <c r="H98" s="25" t="s">
        <v>44</v>
      </c>
      <c r="I98" s="80"/>
    </row>
    <row r="99" spans="2:9" hidden="1" x14ac:dyDescent="0.4">
      <c r="B99" s="25" t="s">
        <v>229</v>
      </c>
      <c r="C99" s="25" t="s">
        <v>44</v>
      </c>
      <c r="D99" s="85"/>
      <c r="E99" s="25" t="s">
        <v>18</v>
      </c>
      <c r="F99" s="79"/>
      <c r="G99" s="25" t="s">
        <v>9</v>
      </c>
      <c r="H99" s="25" t="s">
        <v>44</v>
      </c>
      <c r="I99" s="80"/>
    </row>
    <row r="100" spans="2:9" x14ac:dyDescent="0.4">
      <c r="B100" s="25" t="s">
        <v>508</v>
      </c>
      <c r="C100" s="25" t="s">
        <v>44</v>
      </c>
      <c r="D100" s="25">
        <v>1</v>
      </c>
      <c r="E100" s="25" t="s">
        <v>18</v>
      </c>
      <c r="F100" s="62" t="s">
        <v>509</v>
      </c>
      <c r="G100" s="25" t="s">
        <v>9</v>
      </c>
      <c r="H100" s="25" t="s">
        <v>35</v>
      </c>
      <c r="I100" s="61"/>
    </row>
    <row r="101" spans="2:9" hidden="1" x14ac:dyDescent="0.4">
      <c r="B101" s="25" t="s">
        <v>230</v>
      </c>
      <c r="C101" s="25" t="s">
        <v>44</v>
      </c>
      <c r="D101" s="25">
        <v>2</v>
      </c>
      <c r="E101" s="25" t="s">
        <v>18</v>
      </c>
      <c r="F101" s="36" t="s">
        <v>231</v>
      </c>
      <c r="G101" s="25" t="s">
        <v>2</v>
      </c>
      <c r="H101" s="25" t="s">
        <v>44</v>
      </c>
      <c r="I101" s="80" t="s">
        <v>232</v>
      </c>
    </row>
    <row r="102" spans="2:9" hidden="1" x14ac:dyDescent="0.4">
      <c r="B102" s="25" t="s">
        <v>233</v>
      </c>
      <c r="C102" s="25" t="s">
        <v>44</v>
      </c>
      <c r="D102" s="25">
        <v>2</v>
      </c>
      <c r="E102" s="25" t="s">
        <v>18</v>
      </c>
      <c r="F102" s="36" t="s">
        <v>234</v>
      </c>
      <c r="G102" s="25" t="s">
        <v>2</v>
      </c>
      <c r="H102" s="25" t="s">
        <v>44</v>
      </c>
      <c r="I102" s="80"/>
    </row>
  </sheetData>
  <autoFilter ref="B6:I102" xr:uid="{5F635A0F-7DC4-482E-AFAD-9EB74FAAA0A7}">
    <filterColumn colId="2">
      <filters>
        <filter val="1"/>
      </filters>
    </filterColumn>
  </autoFilter>
  <mergeCells count="21">
    <mergeCell ref="I101:I102"/>
    <mergeCell ref="D4:D5"/>
    <mergeCell ref="D94:D99"/>
    <mergeCell ref="D91:D92"/>
    <mergeCell ref="D45:D60"/>
    <mergeCell ref="G4:G5"/>
    <mergeCell ref="I91:I92"/>
    <mergeCell ref="I22:I25"/>
    <mergeCell ref="I28:I32"/>
    <mergeCell ref="I37:I39"/>
    <mergeCell ref="I42:I44"/>
    <mergeCell ref="I45:I60"/>
    <mergeCell ref="I64:I90"/>
    <mergeCell ref="I94:I99"/>
    <mergeCell ref="F45:F60"/>
    <mergeCell ref="F91:F92"/>
    <mergeCell ref="F94:F99"/>
    <mergeCell ref="I4:I5"/>
    <mergeCell ref="E4:E5"/>
    <mergeCell ref="F4:F5"/>
    <mergeCell ref="H4:H5"/>
  </mergeCells>
  <phoneticPr fontId="2" type="noConversion"/>
  <conditionalFormatting sqref="D1:D45 D61:D91 D93:D94 D100:D1048576">
    <cfRule type="expression" dxfId="17" priority="1">
      <formula>D1=2</formula>
    </cfRule>
    <cfRule type="expression" dxfId="16" priority="2">
      <formula>D1=1</formula>
    </cfRule>
  </conditionalFormatting>
  <conditionalFormatting sqref="G1:G1048576">
    <cfRule type="expression" dxfId="15" priority="3">
      <formula>G1="EEPROM"</formula>
    </cfRule>
    <cfRule type="expression" dxfId="14" priority="4">
      <formula>G1="RO"</formula>
    </cfRule>
    <cfRule type="expression" dxfId="13" priority="5">
      <formula>G1="RW"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5E12A-1EDE-4BCC-845B-1112E9EBBF49}">
  <sheetPr filterMode="1"/>
  <dimension ref="B2:I102"/>
  <sheetViews>
    <sheetView zoomScale="85" zoomScaleNormal="85" workbookViewId="0">
      <selection activeCell="B2" sqref="B2"/>
    </sheetView>
  </sheetViews>
  <sheetFormatPr defaultRowHeight="17.399999999999999" x14ac:dyDescent="0.4"/>
  <cols>
    <col min="2" max="2" width="12.296875" customWidth="1"/>
    <col min="3" max="3" width="12.296875" hidden="1" customWidth="1"/>
    <col min="4" max="4" width="8.796875" style="31" customWidth="1"/>
    <col min="6" max="6" width="39.59765625" bestFit="1" customWidth="1"/>
    <col min="7" max="7" width="8.796875" customWidth="1"/>
    <col min="8" max="8" width="8.796875" style="31" customWidth="1"/>
    <col min="9" max="9" width="114.8984375" style="28" bestFit="1" customWidth="1"/>
  </cols>
  <sheetData>
    <row r="2" spans="2:9" x14ac:dyDescent="0.4">
      <c r="B2" s="2" t="s">
        <v>0</v>
      </c>
      <c r="C2" s="2"/>
      <c r="D2" s="29"/>
      <c r="E2" s="3"/>
      <c r="F2" s="3"/>
      <c r="G2" s="3"/>
      <c r="H2" s="40"/>
      <c r="I2" s="7"/>
    </row>
    <row r="3" spans="2:9" x14ac:dyDescent="0.4">
      <c r="B3" s="4" t="s">
        <v>335</v>
      </c>
      <c r="C3" s="4"/>
      <c r="D3" s="30"/>
      <c r="E3" s="5"/>
      <c r="F3" s="5"/>
      <c r="G3" s="5"/>
      <c r="H3" s="41"/>
      <c r="I3" s="8"/>
    </row>
    <row r="4" spans="2:9" x14ac:dyDescent="0.4">
      <c r="B4" s="20" t="s">
        <v>235</v>
      </c>
      <c r="C4" s="20" t="s">
        <v>236</v>
      </c>
      <c r="D4" s="81" t="s">
        <v>238</v>
      </c>
      <c r="E4" s="65" t="s">
        <v>8</v>
      </c>
      <c r="F4" s="65" t="s">
        <v>237</v>
      </c>
      <c r="G4" s="81" t="s">
        <v>1</v>
      </c>
      <c r="H4" s="76" t="s">
        <v>30</v>
      </c>
      <c r="I4" s="66" t="s">
        <v>26</v>
      </c>
    </row>
    <row r="5" spans="2:9" x14ac:dyDescent="0.4">
      <c r="B5" s="24" t="s">
        <v>49</v>
      </c>
      <c r="C5" s="24" t="s">
        <v>49</v>
      </c>
      <c r="D5" s="89"/>
      <c r="E5" s="81"/>
      <c r="F5" s="81"/>
      <c r="G5" s="89"/>
      <c r="H5" s="90"/>
      <c r="I5" s="91"/>
    </row>
    <row r="6" spans="2:9" x14ac:dyDescent="0.4">
      <c r="B6" s="25" t="s">
        <v>62</v>
      </c>
      <c r="C6" s="25" t="s">
        <v>281</v>
      </c>
      <c r="D6" s="25">
        <v>1</v>
      </c>
      <c r="E6" s="25" t="s">
        <v>18</v>
      </c>
      <c r="F6" s="36" t="s">
        <v>282</v>
      </c>
      <c r="G6" s="25" t="s">
        <v>9</v>
      </c>
      <c r="H6" s="32" t="s">
        <v>44</v>
      </c>
      <c r="I6" s="33" t="s">
        <v>357</v>
      </c>
    </row>
    <row r="7" spans="2:9" x14ac:dyDescent="0.4">
      <c r="B7" s="25" t="s">
        <v>283</v>
      </c>
      <c r="C7" s="25" t="s">
        <v>284</v>
      </c>
      <c r="D7" s="25">
        <v>1</v>
      </c>
      <c r="E7" s="25" t="s">
        <v>18</v>
      </c>
      <c r="F7" s="36" t="s">
        <v>285</v>
      </c>
      <c r="G7" s="25" t="s">
        <v>9</v>
      </c>
      <c r="H7" s="25" t="s">
        <v>356</v>
      </c>
      <c r="I7" s="33"/>
    </row>
    <row r="8" spans="2:9" x14ac:dyDescent="0.4">
      <c r="B8" s="25" t="s">
        <v>286</v>
      </c>
      <c r="C8" s="25" t="s">
        <v>287</v>
      </c>
      <c r="D8" s="25">
        <v>1</v>
      </c>
      <c r="E8" s="25" t="s">
        <v>18</v>
      </c>
      <c r="F8" s="37" t="s">
        <v>338</v>
      </c>
      <c r="G8" s="25" t="s">
        <v>9</v>
      </c>
      <c r="H8" s="25" t="s">
        <v>44</v>
      </c>
      <c r="I8" s="33" t="s">
        <v>288</v>
      </c>
    </row>
    <row r="9" spans="2:9" x14ac:dyDescent="0.4">
      <c r="B9" s="25" t="s">
        <v>289</v>
      </c>
      <c r="C9" s="25" t="s">
        <v>290</v>
      </c>
      <c r="D9" s="25">
        <v>1</v>
      </c>
      <c r="E9" s="25" t="s">
        <v>18</v>
      </c>
      <c r="F9" s="37" t="s">
        <v>339</v>
      </c>
      <c r="G9" s="25" t="s">
        <v>9</v>
      </c>
      <c r="H9" s="25" t="s">
        <v>44</v>
      </c>
      <c r="I9" s="33" t="s">
        <v>291</v>
      </c>
    </row>
    <row r="10" spans="2:9" x14ac:dyDescent="0.4">
      <c r="B10" s="25" t="s">
        <v>292</v>
      </c>
      <c r="C10" s="25" t="s">
        <v>293</v>
      </c>
      <c r="D10" s="25">
        <v>1</v>
      </c>
      <c r="E10" s="25" t="s">
        <v>18</v>
      </c>
      <c r="F10" s="37" t="s">
        <v>340</v>
      </c>
      <c r="G10" s="25" t="s">
        <v>9</v>
      </c>
      <c r="H10" s="25" t="s">
        <v>44</v>
      </c>
      <c r="I10" s="33" t="s">
        <v>294</v>
      </c>
    </row>
    <row r="11" spans="2:9" x14ac:dyDescent="0.4">
      <c r="B11" s="25" t="s">
        <v>295</v>
      </c>
      <c r="C11" s="25" t="s">
        <v>296</v>
      </c>
      <c r="D11" s="25">
        <v>1</v>
      </c>
      <c r="E11" s="25" t="s">
        <v>18</v>
      </c>
      <c r="F11" s="37" t="s">
        <v>341</v>
      </c>
      <c r="G11" s="25" t="s">
        <v>9</v>
      </c>
      <c r="H11" s="25" t="s">
        <v>44</v>
      </c>
      <c r="I11" s="33" t="s">
        <v>297</v>
      </c>
    </row>
    <row r="12" spans="2:9" x14ac:dyDescent="0.4">
      <c r="B12" s="25" t="s">
        <v>298</v>
      </c>
      <c r="C12" s="25" t="s">
        <v>44</v>
      </c>
      <c r="D12" s="25">
        <v>1</v>
      </c>
      <c r="E12" s="25" t="s">
        <v>18</v>
      </c>
      <c r="F12" s="37" t="s">
        <v>337</v>
      </c>
      <c r="G12" s="25" t="s">
        <v>9</v>
      </c>
      <c r="H12" s="25"/>
      <c r="I12" s="33"/>
    </row>
    <row r="13" spans="2:9" x14ac:dyDescent="0.4">
      <c r="B13" s="25" t="s">
        <v>299</v>
      </c>
      <c r="C13" s="25" t="s">
        <v>300</v>
      </c>
      <c r="D13" s="25">
        <v>1</v>
      </c>
      <c r="E13" s="25" t="s">
        <v>18</v>
      </c>
      <c r="F13" s="36" t="s">
        <v>301</v>
      </c>
      <c r="G13" s="25" t="s">
        <v>9</v>
      </c>
      <c r="H13" s="25"/>
      <c r="I13" s="33"/>
    </row>
    <row r="14" spans="2:9" x14ac:dyDescent="0.4">
      <c r="B14" s="25" t="s">
        <v>302</v>
      </c>
      <c r="C14" s="25" t="s">
        <v>303</v>
      </c>
      <c r="D14" s="25">
        <v>1</v>
      </c>
      <c r="E14" s="25" t="s">
        <v>18</v>
      </c>
      <c r="F14" s="36" t="s">
        <v>304</v>
      </c>
      <c r="G14" s="25" t="s">
        <v>9</v>
      </c>
      <c r="H14" s="25"/>
      <c r="I14" s="33"/>
    </row>
    <row r="15" spans="2:9" x14ac:dyDescent="0.4">
      <c r="B15" s="25" t="s">
        <v>305</v>
      </c>
      <c r="C15" s="25" t="s">
        <v>306</v>
      </c>
      <c r="D15" s="25">
        <v>1</v>
      </c>
      <c r="E15" s="25" t="s">
        <v>18</v>
      </c>
      <c r="F15" s="36" t="s">
        <v>307</v>
      </c>
      <c r="G15" s="25" t="s">
        <v>9</v>
      </c>
      <c r="H15" s="25" t="s">
        <v>25</v>
      </c>
      <c r="I15" s="33"/>
    </row>
    <row r="16" spans="2:9" hidden="1" x14ac:dyDescent="0.4">
      <c r="B16" s="25" t="s">
        <v>308</v>
      </c>
      <c r="C16" s="25" t="s">
        <v>44</v>
      </c>
      <c r="D16" s="25">
        <v>2</v>
      </c>
      <c r="E16" s="25" t="s">
        <v>18</v>
      </c>
      <c r="F16" s="36" t="s">
        <v>309</v>
      </c>
      <c r="G16" s="25" t="s">
        <v>9</v>
      </c>
      <c r="H16" s="25"/>
      <c r="I16" s="33"/>
    </row>
    <row r="17" spans="2:9" x14ac:dyDescent="0.4">
      <c r="B17" s="25" t="s">
        <v>310</v>
      </c>
      <c r="C17" s="25" t="s">
        <v>311</v>
      </c>
      <c r="D17" s="25">
        <v>1</v>
      </c>
      <c r="E17" s="25" t="s">
        <v>19</v>
      </c>
      <c r="F17" s="36" t="s">
        <v>312</v>
      </c>
      <c r="G17" s="25" t="s">
        <v>9</v>
      </c>
      <c r="H17" s="25"/>
      <c r="I17" s="33" t="s">
        <v>313</v>
      </c>
    </row>
    <row r="18" spans="2:9" x14ac:dyDescent="0.4">
      <c r="B18" s="25" t="s">
        <v>314</v>
      </c>
      <c r="C18" s="25" t="s">
        <v>315</v>
      </c>
      <c r="D18" s="25">
        <v>1</v>
      </c>
      <c r="E18" s="25" t="s">
        <v>19</v>
      </c>
      <c r="F18" s="36" t="s">
        <v>316</v>
      </c>
      <c r="G18" s="25" t="s">
        <v>9</v>
      </c>
      <c r="H18" s="25"/>
      <c r="I18" s="33" t="s">
        <v>317</v>
      </c>
    </row>
    <row r="19" spans="2:9" hidden="1" x14ac:dyDescent="0.4">
      <c r="B19" s="25" t="s">
        <v>318</v>
      </c>
      <c r="C19" s="25" t="s">
        <v>44</v>
      </c>
      <c r="D19" s="25">
        <v>2</v>
      </c>
      <c r="E19" s="25" t="s">
        <v>18</v>
      </c>
      <c r="F19" s="36" t="s">
        <v>319</v>
      </c>
      <c r="G19" s="25" t="s">
        <v>9</v>
      </c>
      <c r="H19" s="25"/>
      <c r="I19" s="33"/>
    </row>
    <row r="20" spans="2:9" x14ac:dyDescent="0.4">
      <c r="B20" s="25" t="s">
        <v>474</v>
      </c>
      <c r="C20" s="25"/>
      <c r="D20" s="25">
        <v>1</v>
      </c>
      <c r="E20" s="25" t="s">
        <v>18</v>
      </c>
      <c r="F20" s="59" t="s">
        <v>475</v>
      </c>
      <c r="G20" s="25" t="s">
        <v>9</v>
      </c>
      <c r="H20" s="25" t="s">
        <v>279</v>
      </c>
      <c r="I20" s="58"/>
    </row>
    <row r="21" spans="2:9" hidden="1" x14ac:dyDescent="0.4">
      <c r="B21" s="25" t="s">
        <v>320</v>
      </c>
      <c r="C21" s="25" t="s">
        <v>44</v>
      </c>
      <c r="D21" s="25">
        <v>3</v>
      </c>
      <c r="E21" s="25" t="s">
        <v>18</v>
      </c>
      <c r="F21" s="36" t="s">
        <v>321</v>
      </c>
      <c r="G21" s="25" t="s">
        <v>9</v>
      </c>
      <c r="H21" s="25"/>
      <c r="I21" s="33"/>
    </row>
    <row r="22" spans="2:9" hidden="1" x14ac:dyDescent="0.4">
      <c r="B22" s="25" t="s">
        <v>322</v>
      </c>
      <c r="C22" s="25" t="s">
        <v>44</v>
      </c>
      <c r="D22" s="25">
        <v>3</v>
      </c>
      <c r="E22" s="25" t="s">
        <v>18</v>
      </c>
      <c r="F22" s="36" t="s">
        <v>323</v>
      </c>
      <c r="G22" s="25" t="s">
        <v>9</v>
      </c>
      <c r="H22" s="25"/>
      <c r="I22" s="33"/>
    </row>
    <row r="23" spans="2:9" hidden="1" x14ac:dyDescent="0.4">
      <c r="B23" s="25" t="s">
        <v>324</v>
      </c>
      <c r="C23" s="25" t="s">
        <v>44</v>
      </c>
      <c r="D23" s="25">
        <v>2</v>
      </c>
      <c r="E23" s="25" t="s">
        <v>18</v>
      </c>
      <c r="F23" s="37" t="s">
        <v>336</v>
      </c>
      <c r="G23" s="25" t="s">
        <v>9</v>
      </c>
      <c r="H23" s="25"/>
      <c r="I23" s="33"/>
    </row>
    <row r="24" spans="2:9" x14ac:dyDescent="0.4">
      <c r="B24" s="25" t="s">
        <v>325</v>
      </c>
      <c r="C24" s="25" t="s">
        <v>326</v>
      </c>
      <c r="D24" s="25">
        <v>1</v>
      </c>
      <c r="E24" s="25" t="s">
        <v>18</v>
      </c>
      <c r="F24" s="37" t="s">
        <v>342</v>
      </c>
      <c r="G24" s="25" t="s">
        <v>9</v>
      </c>
      <c r="H24" s="25" t="s">
        <v>35</v>
      </c>
      <c r="I24" s="33"/>
    </row>
    <row r="25" spans="2:9" hidden="1" x14ac:dyDescent="0.4">
      <c r="B25" s="25" t="s">
        <v>327</v>
      </c>
      <c r="C25" s="25" t="s">
        <v>44</v>
      </c>
      <c r="D25" s="25">
        <v>3</v>
      </c>
      <c r="E25" s="25" t="s">
        <v>18</v>
      </c>
      <c r="F25" s="36" t="s">
        <v>328</v>
      </c>
      <c r="G25" s="25" t="s">
        <v>9</v>
      </c>
      <c r="H25" s="25" t="s">
        <v>25</v>
      </c>
      <c r="I25" s="33"/>
    </row>
    <row r="26" spans="2:9" x14ac:dyDescent="0.4">
      <c r="B26" s="25" t="s">
        <v>329</v>
      </c>
      <c r="C26" s="25" t="s">
        <v>330</v>
      </c>
      <c r="D26" s="25">
        <v>1</v>
      </c>
      <c r="E26" s="25" t="s">
        <v>19</v>
      </c>
      <c r="F26" s="37" t="s">
        <v>331</v>
      </c>
      <c r="G26" s="25" t="s">
        <v>9</v>
      </c>
      <c r="H26" s="25" t="s">
        <v>35</v>
      </c>
      <c r="I26" s="33"/>
    </row>
    <row r="27" spans="2:9" x14ac:dyDescent="0.4">
      <c r="B27" s="25" t="s">
        <v>332</v>
      </c>
      <c r="C27" s="25" t="s">
        <v>333</v>
      </c>
      <c r="D27" s="25">
        <v>1</v>
      </c>
      <c r="E27" s="25" t="s">
        <v>19</v>
      </c>
      <c r="F27" s="37" t="s">
        <v>334</v>
      </c>
      <c r="G27" s="25" t="s">
        <v>9</v>
      </c>
      <c r="H27" s="25" t="s">
        <v>279</v>
      </c>
      <c r="I27" s="33"/>
    </row>
    <row r="28" spans="2:9" x14ac:dyDescent="0.4">
      <c r="I28"/>
    </row>
    <row r="29" spans="2:9" x14ac:dyDescent="0.4">
      <c r="I29"/>
    </row>
    <row r="30" spans="2:9" x14ac:dyDescent="0.4">
      <c r="I30"/>
    </row>
    <row r="31" spans="2:9" x14ac:dyDescent="0.4">
      <c r="I31"/>
    </row>
    <row r="32" spans="2:9" x14ac:dyDescent="0.4">
      <c r="I32"/>
    </row>
    <row r="33" spans="9:9" x14ac:dyDescent="0.4">
      <c r="I33"/>
    </row>
    <row r="34" spans="9:9" x14ac:dyDescent="0.4">
      <c r="I34"/>
    </row>
    <row r="35" spans="9:9" x14ac:dyDescent="0.4">
      <c r="I35"/>
    </row>
    <row r="36" spans="9:9" x14ac:dyDescent="0.4">
      <c r="I36"/>
    </row>
    <row r="37" spans="9:9" x14ac:dyDescent="0.4">
      <c r="I37"/>
    </row>
    <row r="38" spans="9:9" x14ac:dyDescent="0.4">
      <c r="I38"/>
    </row>
    <row r="39" spans="9:9" x14ac:dyDescent="0.4">
      <c r="I39"/>
    </row>
    <row r="40" spans="9:9" x14ac:dyDescent="0.4">
      <c r="I40"/>
    </row>
    <row r="41" spans="9:9" x14ac:dyDescent="0.4">
      <c r="I41"/>
    </row>
    <row r="42" spans="9:9" x14ac:dyDescent="0.4">
      <c r="I42"/>
    </row>
    <row r="43" spans="9:9" x14ac:dyDescent="0.4">
      <c r="I43"/>
    </row>
    <row r="44" spans="9:9" x14ac:dyDescent="0.4">
      <c r="I44"/>
    </row>
    <row r="45" spans="9:9" x14ac:dyDescent="0.4">
      <c r="I45"/>
    </row>
    <row r="46" spans="9:9" x14ac:dyDescent="0.4">
      <c r="I46"/>
    </row>
    <row r="47" spans="9:9" x14ac:dyDescent="0.4">
      <c r="I47"/>
    </row>
    <row r="48" spans="9:9" x14ac:dyDescent="0.4">
      <c r="I48"/>
    </row>
    <row r="49" spans="9:9" x14ac:dyDescent="0.4">
      <c r="I49"/>
    </row>
    <row r="50" spans="9:9" x14ac:dyDescent="0.4">
      <c r="I50"/>
    </row>
    <row r="51" spans="9:9" x14ac:dyDescent="0.4">
      <c r="I51"/>
    </row>
    <row r="52" spans="9:9" x14ac:dyDescent="0.4">
      <c r="I52"/>
    </row>
    <row r="53" spans="9:9" x14ac:dyDescent="0.4">
      <c r="I53"/>
    </row>
    <row r="54" spans="9:9" x14ac:dyDescent="0.4">
      <c r="I54"/>
    </row>
    <row r="55" spans="9:9" x14ac:dyDescent="0.4">
      <c r="I55"/>
    </row>
    <row r="56" spans="9:9" x14ac:dyDescent="0.4">
      <c r="I56"/>
    </row>
    <row r="57" spans="9:9" x14ac:dyDescent="0.4">
      <c r="I57"/>
    </row>
    <row r="58" spans="9:9" x14ac:dyDescent="0.4">
      <c r="I58"/>
    </row>
    <row r="59" spans="9:9" x14ac:dyDescent="0.4">
      <c r="I59"/>
    </row>
    <row r="60" spans="9:9" x14ac:dyDescent="0.4">
      <c r="I60"/>
    </row>
    <row r="61" spans="9:9" x14ac:dyDescent="0.4">
      <c r="I61"/>
    </row>
    <row r="62" spans="9:9" x14ac:dyDescent="0.4">
      <c r="I62"/>
    </row>
    <row r="63" spans="9:9" x14ac:dyDescent="0.4">
      <c r="I63"/>
    </row>
    <row r="64" spans="9:9" x14ac:dyDescent="0.4">
      <c r="I64"/>
    </row>
    <row r="65" spans="9:9" x14ac:dyDescent="0.4">
      <c r="I65"/>
    </row>
    <row r="66" spans="9:9" x14ac:dyDescent="0.4">
      <c r="I66"/>
    </row>
    <row r="67" spans="9:9" x14ac:dyDescent="0.4">
      <c r="I67"/>
    </row>
    <row r="68" spans="9:9" x14ac:dyDescent="0.4">
      <c r="I68"/>
    </row>
    <row r="69" spans="9:9" x14ac:dyDescent="0.4">
      <c r="I69"/>
    </row>
    <row r="70" spans="9:9" x14ac:dyDescent="0.4">
      <c r="I70"/>
    </row>
    <row r="71" spans="9:9" x14ac:dyDescent="0.4">
      <c r="I71"/>
    </row>
    <row r="72" spans="9:9" x14ac:dyDescent="0.4">
      <c r="I72"/>
    </row>
    <row r="73" spans="9:9" x14ac:dyDescent="0.4">
      <c r="I73"/>
    </row>
    <row r="74" spans="9:9" x14ac:dyDescent="0.4">
      <c r="I74"/>
    </row>
    <row r="75" spans="9:9" x14ac:dyDescent="0.4">
      <c r="I75"/>
    </row>
    <row r="76" spans="9:9" x14ac:dyDescent="0.4">
      <c r="I76"/>
    </row>
    <row r="77" spans="9:9" x14ac:dyDescent="0.4">
      <c r="I77"/>
    </row>
    <row r="78" spans="9:9" x14ac:dyDescent="0.4">
      <c r="I78"/>
    </row>
    <row r="79" spans="9:9" x14ac:dyDescent="0.4">
      <c r="I79"/>
    </row>
    <row r="80" spans="9:9" x14ac:dyDescent="0.4">
      <c r="I80"/>
    </row>
    <row r="81" spans="9:9" x14ac:dyDescent="0.4">
      <c r="I81"/>
    </row>
    <row r="82" spans="9:9" x14ac:dyDescent="0.4">
      <c r="I82"/>
    </row>
    <row r="83" spans="9:9" x14ac:dyDescent="0.4">
      <c r="I83"/>
    </row>
    <row r="84" spans="9:9" x14ac:dyDescent="0.4">
      <c r="I84"/>
    </row>
    <row r="85" spans="9:9" x14ac:dyDescent="0.4">
      <c r="I85"/>
    </row>
    <row r="86" spans="9:9" x14ac:dyDescent="0.4">
      <c r="I86"/>
    </row>
    <row r="87" spans="9:9" x14ac:dyDescent="0.4">
      <c r="I87"/>
    </row>
    <row r="88" spans="9:9" x14ac:dyDescent="0.4">
      <c r="I88"/>
    </row>
    <row r="89" spans="9:9" x14ac:dyDescent="0.4">
      <c r="I89"/>
    </row>
    <row r="90" spans="9:9" x14ac:dyDescent="0.4">
      <c r="I90"/>
    </row>
    <row r="91" spans="9:9" x14ac:dyDescent="0.4">
      <c r="I91"/>
    </row>
    <row r="92" spans="9:9" x14ac:dyDescent="0.4">
      <c r="I92"/>
    </row>
    <row r="93" spans="9:9" x14ac:dyDescent="0.4">
      <c r="I93"/>
    </row>
    <row r="94" spans="9:9" x14ac:dyDescent="0.4">
      <c r="I94"/>
    </row>
    <row r="95" spans="9:9" x14ac:dyDescent="0.4">
      <c r="I95"/>
    </row>
    <row r="96" spans="9:9" x14ac:dyDescent="0.4">
      <c r="I96"/>
    </row>
    <row r="97" spans="9:9" x14ac:dyDescent="0.4">
      <c r="I97"/>
    </row>
    <row r="98" spans="9:9" x14ac:dyDescent="0.4">
      <c r="I98"/>
    </row>
    <row r="99" spans="9:9" x14ac:dyDescent="0.4">
      <c r="I99"/>
    </row>
    <row r="100" spans="9:9" x14ac:dyDescent="0.4">
      <c r="I100"/>
    </row>
    <row r="101" spans="9:9" x14ac:dyDescent="0.4">
      <c r="I101"/>
    </row>
    <row r="102" spans="9:9" x14ac:dyDescent="0.4">
      <c r="I102"/>
    </row>
  </sheetData>
  <autoFilter ref="B6:I27" xr:uid="{E365E12A-1EDE-4BCC-845B-1112E9EBBF49}">
    <filterColumn colId="2">
      <filters>
        <filter val="1"/>
      </filters>
    </filterColumn>
  </autoFilter>
  <mergeCells count="6">
    <mergeCell ref="G4:G5"/>
    <mergeCell ref="H4:H5"/>
    <mergeCell ref="I4:I5"/>
    <mergeCell ref="D4:D5"/>
    <mergeCell ref="E4:E5"/>
    <mergeCell ref="F4:F5"/>
  </mergeCells>
  <phoneticPr fontId="2" type="noConversion"/>
  <conditionalFormatting sqref="D1:D1048576">
    <cfRule type="expression" dxfId="12" priority="1">
      <formula>D1=2</formula>
    </cfRule>
    <cfRule type="expression" dxfId="11" priority="2">
      <formula>D1=1</formula>
    </cfRule>
  </conditionalFormatting>
  <conditionalFormatting sqref="G1:G1048576">
    <cfRule type="expression" dxfId="10" priority="3">
      <formula>G1="EEPROM"</formula>
    </cfRule>
    <cfRule type="expression" dxfId="9" priority="4">
      <formula>G1="RO"</formula>
    </cfRule>
    <cfRule type="expression" dxfId="8" priority="5">
      <formula>G1="RW"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BF946-5C16-48D6-A4C2-8CD9619C42EE}">
  <dimension ref="B2:I110"/>
  <sheetViews>
    <sheetView zoomScale="85" zoomScaleNormal="85" workbookViewId="0">
      <selection activeCell="B2" sqref="B2"/>
    </sheetView>
  </sheetViews>
  <sheetFormatPr defaultRowHeight="17.399999999999999" x14ac:dyDescent="0.4"/>
  <cols>
    <col min="2" max="3" width="12.296875" customWidth="1"/>
    <col min="4" max="4" width="8.796875" style="31" customWidth="1"/>
    <col min="6" max="6" width="39.59765625" bestFit="1" customWidth="1"/>
    <col min="7" max="7" width="8.796875" customWidth="1"/>
    <col min="8" max="8" width="8.796875" style="31" customWidth="1"/>
    <col min="9" max="9" width="114.8984375" style="28" bestFit="1" customWidth="1"/>
  </cols>
  <sheetData>
    <row r="2" spans="2:9" x14ac:dyDescent="0.4">
      <c r="B2" s="2" t="s">
        <v>0</v>
      </c>
      <c r="C2" s="2"/>
      <c r="D2" s="29"/>
      <c r="E2" s="3"/>
      <c r="F2" s="3"/>
      <c r="G2" s="3"/>
      <c r="H2" s="40"/>
      <c r="I2" s="7"/>
    </row>
    <row r="3" spans="2:9" x14ac:dyDescent="0.4">
      <c r="B3" s="4" t="s">
        <v>352</v>
      </c>
      <c r="C3" s="4"/>
      <c r="D3" s="30"/>
      <c r="E3" s="5"/>
      <c r="F3" s="5"/>
      <c r="G3" s="5"/>
      <c r="H3" s="41"/>
      <c r="I3" s="8"/>
    </row>
    <row r="4" spans="2:9" x14ac:dyDescent="0.4">
      <c r="B4" s="20" t="s">
        <v>236</v>
      </c>
      <c r="C4" s="20" t="s">
        <v>235</v>
      </c>
      <c r="D4" s="81" t="s">
        <v>238</v>
      </c>
      <c r="E4" s="65" t="s">
        <v>8</v>
      </c>
      <c r="F4" s="65" t="s">
        <v>237</v>
      </c>
      <c r="G4" s="81" t="s">
        <v>1</v>
      </c>
      <c r="H4" s="76" t="s">
        <v>30</v>
      </c>
      <c r="I4" s="66" t="s">
        <v>26</v>
      </c>
    </row>
    <row r="5" spans="2:9" x14ac:dyDescent="0.4">
      <c r="B5" s="24" t="s">
        <v>470</v>
      </c>
      <c r="C5" s="24" t="s">
        <v>49</v>
      </c>
      <c r="D5" s="89"/>
      <c r="E5" s="81"/>
      <c r="F5" s="81"/>
      <c r="G5" s="89"/>
      <c r="H5" s="90"/>
      <c r="I5" s="91"/>
    </row>
    <row r="6" spans="2:9" x14ac:dyDescent="0.4">
      <c r="B6" s="25" t="s">
        <v>63</v>
      </c>
      <c r="C6" s="25" t="s">
        <v>62</v>
      </c>
      <c r="D6" s="25">
        <v>1</v>
      </c>
      <c r="E6" s="25" t="s">
        <v>18</v>
      </c>
      <c r="F6" s="38" t="s">
        <v>64</v>
      </c>
      <c r="G6" s="25" t="s">
        <v>2</v>
      </c>
      <c r="H6" s="32" t="s">
        <v>44</v>
      </c>
      <c r="I6" s="34" t="s">
        <v>353</v>
      </c>
    </row>
    <row r="7" spans="2:9" x14ac:dyDescent="0.4">
      <c r="B7" s="25" t="s">
        <v>66</v>
      </c>
      <c r="C7" s="25" t="s">
        <v>65</v>
      </c>
      <c r="D7" s="25">
        <v>1</v>
      </c>
      <c r="E7" s="25" t="s">
        <v>18</v>
      </c>
      <c r="F7" s="38" t="s">
        <v>67</v>
      </c>
      <c r="G7" s="25" t="s">
        <v>2</v>
      </c>
      <c r="H7" s="25"/>
      <c r="I7" s="34" t="s">
        <v>275</v>
      </c>
    </row>
    <row r="8" spans="2:9" x14ac:dyDescent="0.4">
      <c r="B8" s="25" t="s">
        <v>82</v>
      </c>
      <c r="C8" s="25" t="s">
        <v>81</v>
      </c>
      <c r="D8" s="25">
        <v>1</v>
      </c>
      <c r="E8" s="25" t="s">
        <v>18</v>
      </c>
      <c r="F8" s="38" t="s">
        <v>83</v>
      </c>
      <c r="G8" s="25" t="s">
        <v>2</v>
      </c>
      <c r="H8" s="25" t="s">
        <v>44</v>
      </c>
      <c r="I8" s="35" t="s">
        <v>84</v>
      </c>
    </row>
    <row r="9" spans="2:9" x14ac:dyDescent="0.4">
      <c r="B9" s="25" t="s">
        <v>88</v>
      </c>
      <c r="C9" s="25" t="s">
        <v>87</v>
      </c>
      <c r="D9" s="25">
        <v>1</v>
      </c>
      <c r="E9" s="25" t="s">
        <v>18</v>
      </c>
      <c r="F9" s="38" t="s">
        <v>89</v>
      </c>
      <c r="G9" s="25" t="s">
        <v>2</v>
      </c>
      <c r="H9" s="25" t="s">
        <v>44</v>
      </c>
      <c r="I9" s="34" t="s">
        <v>251</v>
      </c>
    </row>
    <row r="10" spans="2:9" x14ac:dyDescent="0.4">
      <c r="B10" s="25" t="s">
        <v>90</v>
      </c>
      <c r="C10" s="25" t="s">
        <v>261</v>
      </c>
      <c r="D10" s="25">
        <v>1</v>
      </c>
      <c r="E10" s="25" t="s">
        <v>18</v>
      </c>
      <c r="F10" s="38" t="s">
        <v>263</v>
      </c>
      <c r="G10" s="25" t="s">
        <v>2</v>
      </c>
      <c r="H10" s="25" t="s">
        <v>44</v>
      </c>
      <c r="I10" s="34" t="s">
        <v>240</v>
      </c>
    </row>
    <row r="11" spans="2:9" x14ac:dyDescent="0.4">
      <c r="B11" s="25" t="s">
        <v>400</v>
      </c>
      <c r="C11" s="25" t="s">
        <v>85</v>
      </c>
      <c r="D11" s="25">
        <v>1</v>
      </c>
      <c r="E11" s="25" t="s">
        <v>18</v>
      </c>
      <c r="F11" s="52" t="s">
        <v>86</v>
      </c>
      <c r="G11" s="25" t="s">
        <v>2</v>
      </c>
      <c r="H11" s="25" t="s">
        <v>44</v>
      </c>
      <c r="I11" s="53" t="s">
        <v>276</v>
      </c>
    </row>
    <row r="12" spans="2:9" x14ac:dyDescent="0.4">
      <c r="B12" s="25" t="s">
        <v>402</v>
      </c>
      <c r="C12" s="25" t="s">
        <v>115</v>
      </c>
      <c r="D12" s="25">
        <v>1</v>
      </c>
      <c r="E12" s="25" t="s">
        <v>18</v>
      </c>
      <c r="F12" s="57" t="s">
        <v>116</v>
      </c>
      <c r="G12" s="25" t="s">
        <v>9</v>
      </c>
      <c r="H12" s="25" t="s">
        <v>44</v>
      </c>
      <c r="I12" s="56" t="s">
        <v>253</v>
      </c>
    </row>
    <row r="13" spans="2:9" x14ac:dyDescent="0.4">
      <c r="B13" s="25" t="s">
        <v>403</v>
      </c>
      <c r="C13" s="25" t="s">
        <v>117</v>
      </c>
      <c r="D13" s="25">
        <v>1</v>
      </c>
      <c r="E13" s="25" t="s">
        <v>18</v>
      </c>
      <c r="F13" s="57" t="s">
        <v>118</v>
      </c>
      <c r="G13" s="25" t="s">
        <v>9</v>
      </c>
      <c r="H13" s="25" t="s">
        <v>44</v>
      </c>
      <c r="I13" s="56" t="s">
        <v>254</v>
      </c>
    </row>
    <row r="14" spans="2:9" x14ac:dyDescent="0.4">
      <c r="B14" s="25" t="s">
        <v>112</v>
      </c>
      <c r="C14" s="25" t="s">
        <v>111</v>
      </c>
      <c r="D14" s="25">
        <v>1</v>
      </c>
      <c r="E14" s="25" t="s">
        <v>18</v>
      </c>
      <c r="F14" s="38" t="s">
        <v>113</v>
      </c>
      <c r="G14" s="25" t="s">
        <v>9</v>
      </c>
      <c r="H14" s="25" t="s">
        <v>279</v>
      </c>
      <c r="I14" s="34" t="s">
        <v>280</v>
      </c>
    </row>
    <row r="15" spans="2:9" x14ac:dyDescent="0.4">
      <c r="B15" s="25" t="s">
        <v>326</v>
      </c>
      <c r="C15" s="25" t="s">
        <v>325</v>
      </c>
      <c r="D15" s="25">
        <v>1</v>
      </c>
      <c r="E15" s="25" t="s">
        <v>18</v>
      </c>
      <c r="F15" s="37" t="s">
        <v>342</v>
      </c>
      <c r="G15" s="25" t="s">
        <v>9</v>
      </c>
      <c r="H15" s="25" t="s">
        <v>35</v>
      </c>
      <c r="I15" s="35"/>
    </row>
    <row r="16" spans="2:9" x14ac:dyDescent="0.4">
      <c r="B16" s="25" t="s">
        <v>330</v>
      </c>
      <c r="C16" s="25" t="s">
        <v>329</v>
      </c>
      <c r="D16" s="25">
        <v>1</v>
      </c>
      <c r="E16" s="25" t="s">
        <v>19</v>
      </c>
      <c r="F16" s="37" t="s">
        <v>331</v>
      </c>
      <c r="G16" s="25" t="s">
        <v>9</v>
      </c>
      <c r="H16" s="25" t="s">
        <v>35</v>
      </c>
      <c r="I16" s="35"/>
    </row>
    <row r="17" spans="2:9" x14ac:dyDescent="0.4">
      <c r="B17" s="25" t="s">
        <v>306</v>
      </c>
      <c r="C17" s="25" t="s">
        <v>305</v>
      </c>
      <c r="D17" s="25">
        <v>1</v>
      </c>
      <c r="E17" s="25" t="s">
        <v>18</v>
      </c>
      <c r="F17" s="38" t="s">
        <v>307</v>
      </c>
      <c r="G17" s="25" t="s">
        <v>9</v>
      </c>
      <c r="H17" s="25" t="s">
        <v>25</v>
      </c>
      <c r="I17" s="35"/>
    </row>
    <row r="18" spans="2:9" x14ac:dyDescent="0.4">
      <c r="B18" s="25" t="s">
        <v>311</v>
      </c>
      <c r="C18" s="25" t="s">
        <v>310</v>
      </c>
      <c r="D18" s="25">
        <v>1</v>
      </c>
      <c r="E18" s="25" t="s">
        <v>19</v>
      </c>
      <c r="F18" s="38" t="s">
        <v>312</v>
      </c>
      <c r="G18" s="25" t="s">
        <v>9</v>
      </c>
      <c r="H18" s="25" t="s">
        <v>404</v>
      </c>
      <c r="I18" s="35" t="s">
        <v>313</v>
      </c>
    </row>
    <row r="19" spans="2:9" x14ac:dyDescent="0.4">
      <c r="B19" s="25" t="s">
        <v>315</v>
      </c>
      <c r="C19" s="25" t="s">
        <v>314</v>
      </c>
      <c r="D19" s="25">
        <v>1</v>
      </c>
      <c r="E19" s="25" t="s">
        <v>19</v>
      </c>
      <c r="F19" s="38" t="s">
        <v>316</v>
      </c>
      <c r="G19" s="25" t="s">
        <v>9</v>
      </c>
      <c r="H19" s="25" t="s">
        <v>404</v>
      </c>
      <c r="I19" s="35" t="s">
        <v>317</v>
      </c>
    </row>
    <row r="20" spans="2:9" x14ac:dyDescent="0.4">
      <c r="B20" s="25" t="s">
        <v>281</v>
      </c>
      <c r="C20" s="25" t="s">
        <v>62</v>
      </c>
      <c r="D20" s="25">
        <v>1</v>
      </c>
      <c r="E20" s="25" t="s">
        <v>18</v>
      </c>
      <c r="F20" s="38" t="s">
        <v>282</v>
      </c>
      <c r="G20" s="25" t="s">
        <v>9</v>
      </c>
      <c r="H20" s="32"/>
      <c r="I20" s="35"/>
    </row>
    <row r="21" spans="2:9" x14ac:dyDescent="0.4">
      <c r="B21" s="25" t="s">
        <v>284</v>
      </c>
      <c r="C21" s="25" t="s">
        <v>283</v>
      </c>
      <c r="D21" s="25">
        <v>1</v>
      </c>
      <c r="E21" s="25" t="s">
        <v>18</v>
      </c>
      <c r="F21" s="38" t="s">
        <v>285</v>
      </c>
      <c r="G21" s="25" t="s">
        <v>9</v>
      </c>
      <c r="H21" s="25" t="s">
        <v>356</v>
      </c>
      <c r="I21" s="35"/>
    </row>
    <row r="22" spans="2:9" x14ac:dyDescent="0.4">
      <c r="B22" s="25" t="s">
        <v>287</v>
      </c>
      <c r="C22" s="25" t="s">
        <v>286</v>
      </c>
      <c r="D22" s="25">
        <v>1</v>
      </c>
      <c r="E22" s="25" t="s">
        <v>18</v>
      </c>
      <c r="F22" s="37" t="s">
        <v>338</v>
      </c>
      <c r="G22" s="25" t="s">
        <v>9</v>
      </c>
      <c r="H22" s="25" t="s">
        <v>44</v>
      </c>
      <c r="I22" s="35" t="s">
        <v>288</v>
      </c>
    </row>
    <row r="23" spans="2:9" x14ac:dyDescent="0.4">
      <c r="B23" s="25" t="s">
        <v>290</v>
      </c>
      <c r="C23" s="25" t="s">
        <v>289</v>
      </c>
      <c r="D23" s="25">
        <v>1</v>
      </c>
      <c r="E23" s="25" t="s">
        <v>18</v>
      </c>
      <c r="F23" s="37" t="s">
        <v>339</v>
      </c>
      <c r="G23" s="25" t="s">
        <v>9</v>
      </c>
      <c r="H23" s="25" t="s">
        <v>44</v>
      </c>
      <c r="I23" s="35" t="s">
        <v>291</v>
      </c>
    </row>
    <row r="24" spans="2:9" x14ac:dyDescent="0.4">
      <c r="B24" s="25" t="s">
        <v>293</v>
      </c>
      <c r="C24" s="25" t="s">
        <v>292</v>
      </c>
      <c r="D24" s="25">
        <v>1</v>
      </c>
      <c r="E24" s="25" t="s">
        <v>18</v>
      </c>
      <c r="F24" s="37" t="s">
        <v>340</v>
      </c>
      <c r="G24" s="25" t="s">
        <v>9</v>
      </c>
      <c r="H24" s="25" t="s">
        <v>44</v>
      </c>
      <c r="I24" s="35" t="s">
        <v>294</v>
      </c>
    </row>
    <row r="25" spans="2:9" x14ac:dyDescent="0.4">
      <c r="B25" s="25" t="s">
        <v>296</v>
      </c>
      <c r="C25" s="25" t="s">
        <v>295</v>
      </c>
      <c r="D25" s="25">
        <v>1</v>
      </c>
      <c r="E25" s="25" t="s">
        <v>18</v>
      </c>
      <c r="F25" s="37" t="s">
        <v>341</v>
      </c>
      <c r="G25" s="25" t="s">
        <v>9</v>
      </c>
      <c r="H25" s="25" t="s">
        <v>44</v>
      </c>
      <c r="I25" s="35" t="s">
        <v>297</v>
      </c>
    </row>
    <row r="26" spans="2:9" x14ac:dyDescent="0.4">
      <c r="B26" s="25" t="s">
        <v>300</v>
      </c>
      <c r="C26" s="25" t="s">
        <v>299</v>
      </c>
      <c r="D26" s="25">
        <v>1</v>
      </c>
      <c r="E26" s="25" t="s">
        <v>18</v>
      </c>
      <c r="F26" s="38" t="s">
        <v>301</v>
      </c>
      <c r="G26" s="25" t="s">
        <v>9</v>
      </c>
      <c r="H26" s="25" t="s">
        <v>44</v>
      </c>
      <c r="I26" s="35"/>
    </row>
    <row r="27" spans="2:9" x14ac:dyDescent="0.4">
      <c r="B27" s="25" t="s">
        <v>303</v>
      </c>
      <c r="C27" s="25" t="s">
        <v>302</v>
      </c>
      <c r="D27" s="25">
        <v>1</v>
      </c>
      <c r="E27" s="25" t="s">
        <v>18</v>
      </c>
      <c r="F27" s="38" t="s">
        <v>304</v>
      </c>
      <c r="G27" s="25" t="s">
        <v>9</v>
      </c>
      <c r="H27" s="25" t="s">
        <v>44</v>
      </c>
      <c r="I27" s="35"/>
    </row>
    <row r="28" spans="2:9" x14ac:dyDescent="0.4">
      <c r="B28" s="25" t="s">
        <v>476</v>
      </c>
      <c r="C28" s="25" t="s">
        <v>44</v>
      </c>
      <c r="D28" s="25">
        <v>1</v>
      </c>
      <c r="E28" s="25" t="s">
        <v>405</v>
      </c>
      <c r="F28" s="57" t="s">
        <v>406</v>
      </c>
      <c r="G28" s="25" t="s">
        <v>9</v>
      </c>
      <c r="H28" s="25" t="s">
        <v>44</v>
      </c>
      <c r="I28" s="55" t="s">
        <v>422</v>
      </c>
    </row>
    <row r="29" spans="2:9" x14ac:dyDescent="0.4">
      <c r="B29" s="25" t="s">
        <v>477</v>
      </c>
      <c r="C29" s="25" t="s">
        <v>44</v>
      </c>
      <c r="D29" s="25">
        <v>1</v>
      </c>
      <c r="E29" s="25" t="s">
        <v>405</v>
      </c>
      <c r="F29" s="57" t="s">
        <v>407</v>
      </c>
      <c r="G29" s="25" t="s">
        <v>9</v>
      </c>
      <c r="H29" s="25" t="s">
        <v>44</v>
      </c>
      <c r="I29" s="55" t="s">
        <v>423</v>
      </c>
    </row>
    <row r="30" spans="2:9" x14ac:dyDescent="0.4">
      <c r="B30" s="25" t="s">
        <v>478</v>
      </c>
      <c r="C30" s="25" t="s">
        <v>44</v>
      </c>
      <c r="D30" s="25">
        <v>1</v>
      </c>
      <c r="E30" s="25" t="s">
        <v>405</v>
      </c>
      <c r="F30" s="57" t="s">
        <v>408</v>
      </c>
      <c r="G30" s="25" t="s">
        <v>9</v>
      </c>
      <c r="H30" s="25" t="s">
        <v>44</v>
      </c>
      <c r="I30" s="55" t="s">
        <v>425</v>
      </c>
    </row>
    <row r="31" spans="2:9" x14ac:dyDescent="0.4">
      <c r="B31" s="25" t="s">
        <v>479</v>
      </c>
      <c r="C31" s="25" t="s">
        <v>44</v>
      </c>
      <c r="D31" s="25">
        <v>1</v>
      </c>
      <c r="E31" s="25" t="s">
        <v>405</v>
      </c>
      <c r="F31" s="57" t="s">
        <v>409</v>
      </c>
      <c r="G31" s="25" t="s">
        <v>9</v>
      </c>
      <c r="H31" s="25" t="s">
        <v>44</v>
      </c>
      <c r="I31" s="55" t="s">
        <v>426</v>
      </c>
    </row>
    <row r="32" spans="2:9" x14ac:dyDescent="0.4">
      <c r="B32" s="25" t="s">
        <v>480</v>
      </c>
      <c r="C32" s="25" t="s">
        <v>44</v>
      </c>
      <c r="D32" s="25">
        <v>1</v>
      </c>
      <c r="E32" s="25" t="s">
        <v>405</v>
      </c>
      <c r="F32" s="57" t="s">
        <v>410</v>
      </c>
      <c r="G32" s="25" t="s">
        <v>9</v>
      </c>
      <c r="H32" s="25" t="s">
        <v>44</v>
      </c>
      <c r="I32" s="55" t="s">
        <v>427</v>
      </c>
    </row>
    <row r="33" spans="2:9" x14ac:dyDescent="0.4">
      <c r="B33" s="25" t="s">
        <v>481</v>
      </c>
      <c r="C33" s="25" t="s">
        <v>44</v>
      </c>
      <c r="D33" s="25">
        <v>1</v>
      </c>
      <c r="E33" s="25" t="s">
        <v>405</v>
      </c>
      <c r="F33" s="57" t="s">
        <v>411</v>
      </c>
      <c r="G33" s="25" t="s">
        <v>9</v>
      </c>
      <c r="H33" s="25" t="s">
        <v>44</v>
      </c>
      <c r="I33" s="55" t="s">
        <v>424</v>
      </c>
    </row>
    <row r="34" spans="2:9" x14ac:dyDescent="0.4">
      <c r="B34" s="25" t="s">
        <v>482</v>
      </c>
      <c r="C34" s="25" t="s">
        <v>44</v>
      </c>
      <c r="D34" s="25">
        <v>1</v>
      </c>
      <c r="E34" s="25" t="s">
        <v>405</v>
      </c>
      <c r="F34" s="57" t="s">
        <v>412</v>
      </c>
      <c r="G34" s="25" t="s">
        <v>9</v>
      </c>
      <c r="H34" s="25" t="s">
        <v>44</v>
      </c>
      <c r="I34" s="55" t="s">
        <v>428</v>
      </c>
    </row>
    <row r="35" spans="2:9" x14ac:dyDescent="0.4">
      <c r="B35" s="25" t="s">
        <v>483</v>
      </c>
      <c r="C35" s="25" t="s">
        <v>44</v>
      </c>
      <c r="D35" s="25">
        <v>1</v>
      </c>
      <c r="E35" s="25" t="s">
        <v>405</v>
      </c>
      <c r="F35" s="57" t="s">
        <v>413</v>
      </c>
      <c r="G35" s="25" t="s">
        <v>9</v>
      </c>
      <c r="H35" s="25" t="s">
        <v>44</v>
      </c>
      <c r="I35" s="55" t="s">
        <v>429</v>
      </c>
    </row>
    <row r="36" spans="2:9" x14ac:dyDescent="0.4">
      <c r="B36" s="25" t="s">
        <v>484</v>
      </c>
      <c r="C36" s="25" t="s">
        <v>44</v>
      </c>
      <c r="D36" s="25">
        <v>1</v>
      </c>
      <c r="E36" s="25" t="s">
        <v>405</v>
      </c>
      <c r="F36" s="57" t="s">
        <v>414</v>
      </c>
      <c r="G36" s="25" t="s">
        <v>9</v>
      </c>
      <c r="H36" s="25" t="s">
        <v>44</v>
      </c>
      <c r="I36" s="55" t="s">
        <v>430</v>
      </c>
    </row>
    <row r="37" spans="2:9" x14ac:dyDescent="0.4">
      <c r="B37" s="25" t="s">
        <v>485</v>
      </c>
      <c r="C37" s="25" t="s">
        <v>44</v>
      </c>
      <c r="D37" s="25">
        <v>1</v>
      </c>
      <c r="E37" s="25" t="s">
        <v>405</v>
      </c>
      <c r="F37" s="57" t="s">
        <v>415</v>
      </c>
      <c r="G37" s="25" t="s">
        <v>9</v>
      </c>
      <c r="H37" s="25" t="s">
        <v>44</v>
      </c>
      <c r="I37" s="55" t="s">
        <v>431</v>
      </c>
    </row>
    <row r="38" spans="2:9" x14ac:dyDescent="0.4">
      <c r="B38" s="25" t="s">
        <v>486</v>
      </c>
      <c r="C38" s="25" t="s">
        <v>44</v>
      </c>
      <c r="D38" s="25">
        <v>1</v>
      </c>
      <c r="E38" s="25" t="s">
        <v>405</v>
      </c>
      <c r="F38" s="57" t="s">
        <v>416</v>
      </c>
      <c r="G38" s="25" t="s">
        <v>9</v>
      </c>
      <c r="H38" s="25" t="s">
        <v>44</v>
      </c>
      <c r="I38" s="55" t="s">
        <v>432</v>
      </c>
    </row>
    <row r="39" spans="2:9" x14ac:dyDescent="0.4">
      <c r="B39" s="25" t="s">
        <v>487</v>
      </c>
      <c r="C39" s="25" t="s">
        <v>44</v>
      </c>
      <c r="D39" s="25">
        <v>1</v>
      </c>
      <c r="E39" s="25" t="s">
        <v>405</v>
      </c>
      <c r="F39" s="57" t="s">
        <v>417</v>
      </c>
      <c r="G39" s="25" t="s">
        <v>9</v>
      </c>
      <c r="H39" s="25" t="s">
        <v>44</v>
      </c>
      <c r="I39" s="55" t="s">
        <v>433</v>
      </c>
    </row>
    <row r="40" spans="2:9" x14ac:dyDescent="0.4">
      <c r="B40" s="25" t="s">
        <v>488</v>
      </c>
      <c r="C40" s="25" t="s">
        <v>44</v>
      </c>
      <c r="D40" s="25">
        <v>1</v>
      </c>
      <c r="E40" s="25" t="s">
        <v>405</v>
      </c>
      <c r="F40" s="57" t="s">
        <v>418</v>
      </c>
      <c r="G40" s="25" t="s">
        <v>9</v>
      </c>
      <c r="H40" s="25" t="s">
        <v>44</v>
      </c>
      <c r="I40" s="55" t="s">
        <v>434</v>
      </c>
    </row>
    <row r="41" spans="2:9" x14ac:dyDescent="0.4">
      <c r="B41" s="25" t="s">
        <v>489</v>
      </c>
      <c r="C41" s="25" t="s">
        <v>44</v>
      </c>
      <c r="D41" s="25">
        <v>1</v>
      </c>
      <c r="E41" s="25" t="s">
        <v>405</v>
      </c>
      <c r="F41" s="57" t="s">
        <v>419</v>
      </c>
      <c r="G41" s="25" t="s">
        <v>9</v>
      </c>
      <c r="H41" s="25" t="s">
        <v>44</v>
      </c>
      <c r="I41" s="55" t="s">
        <v>435</v>
      </c>
    </row>
    <row r="42" spans="2:9" x14ac:dyDescent="0.4">
      <c r="B42" s="25" t="s">
        <v>490</v>
      </c>
      <c r="C42" s="25" t="s">
        <v>44</v>
      </c>
      <c r="D42" s="25">
        <v>1</v>
      </c>
      <c r="E42" s="25" t="s">
        <v>405</v>
      </c>
      <c r="F42" s="57" t="s">
        <v>420</v>
      </c>
      <c r="G42" s="25" t="s">
        <v>9</v>
      </c>
      <c r="H42" s="25" t="s">
        <v>44</v>
      </c>
      <c r="I42" s="55" t="s">
        <v>436</v>
      </c>
    </row>
    <row r="43" spans="2:9" x14ac:dyDescent="0.4">
      <c r="B43" s="25" t="s">
        <v>491</v>
      </c>
      <c r="C43" s="25" t="s">
        <v>44</v>
      </c>
      <c r="D43" s="25">
        <v>1</v>
      </c>
      <c r="E43" s="25" t="s">
        <v>405</v>
      </c>
      <c r="F43" s="57" t="s">
        <v>421</v>
      </c>
      <c r="G43" s="25" t="s">
        <v>9</v>
      </c>
      <c r="H43" s="25" t="s">
        <v>44</v>
      </c>
      <c r="I43" s="55" t="s">
        <v>437</v>
      </c>
    </row>
    <row r="44" spans="2:9" x14ac:dyDescent="0.4">
      <c r="B44" s="25" t="s">
        <v>492</v>
      </c>
      <c r="C44" s="25" t="s">
        <v>44</v>
      </c>
      <c r="D44" s="25">
        <v>1</v>
      </c>
      <c r="E44" s="25" t="s">
        <v>405</v>
      </c>
      <c r="F44" s="57" t="s">
        <v>438</v>
      </c>
      <c r="G44" s="25" t="s">
        <v>9</v>
      </c>
      <c r="H44" s="25" t="s">
        <v>44</v>
      </c>
      <c r="I44" s="55" t="s">
        <v>454</v>
      </c>
    </row>
    <row r="45" spans="2:9" x14ac:dyDescent="0.4">
      <c r="B45" s="25" t="s">
        <v>493</v>
      </c>
      <c r="C45" s="25" t="s">
        <v>44</v>
      </c>
      <c r="D45" s="25">
        <v>1</v>
      </c>
      <c r="E45" s="25" t="s">
        <v>405</v>
      </c>
      <c r="F45" s="57" t="s">
        <v>439</v>
      </c>
      <c r="G45" s="25" t="s">
        <v>9</v>
      </c>
      <c r="H45" s="25" t="s">
        <v>44</v>
      </c>
      <c r="I45" s="55" t="s">
        <v>455</v>
      </c>
    </row>
    <row r="46" spans="2:9" x14ac:dyDescent="0.4">
      <c r="B46" s="25" t="s">
        <v>494</v>
      </c>
      <c r="C46" s="25" t="s">
        <v>44</v>
      </c>
      <c r="D46" s="25">
        <v>1</v>
      </c>
      <c r="E46" s="25" t="s">
        <v>405</v>
      </c>
      <c r="F46" s="57" t="s">
        <v>440</v>
      </c>
      <c r="G46" s="25" t="s">
        <v>9</v>
      </c>
      <c r="H46" s="25" t="s">
        <v>44</v>
      </c>
      <c r="I46" s="55" t="s">
        <v>456</v>
      </c>
    </row>
    <row r="47" spans="2:9" x14ac:dyDescent="0.4">
      <c r="B47" s="25" t="s">
        <v>495</v>
      </c>
      <c r="C47" s="25" t="s">
        <v>44</v>
      </c>
      <c r="D47" s="25">
        <v>1</v>
      </c>
      <c r="E47" s="25" t="s">
        <v>405</v>
      </c>
      <c r="F47" s="57" t="s">
        <v>441</v>
      </c>
      <c r="G47" s="25" t="s">
        <v>9</v>
      </c>
      <c r="H47" s="25" t="s">
        <v>44</v>
      </c>
      <c r="I47" s="55" t="s">
        <v>457</v>
      </c>
    </row>
    <row r="48" spans="2:9" x14ac:dyDescent="0.4">
      <c r="B48" s="25" t="s">
        <v>496</v>
      </c>
      <c r="C48" s="25" t="s">
        <v>44</v>
      </c>
      <c r="D48" s="25">
        <v>1</v>
      </c>
      <c r="E48" s="25" t="s">
        <v>405</v>
      </c>
      <c r="F48" s="57" t="s">
        <v>442</v>
      </c>
      <c r="G48" s="25" t="s">
        <v>9</v>
      </c>
      <c r="H48" s="25" t="s">
        <v>44</v>
      </c>
      <c r="I48" s="55" t="s">
        <v>458</v>
      </c>
    </row>
    <row r="49" spans="2:9" x14ac:dyDescent="0.4">
      <c r="B49" s="25" t="s">
        <v>497</v>
      </c>
      <c r="C49" s="25" t="s">
        <v>44</v>
      </c>
      <c r="D49" s="25">
        <v>1</v>
      </c>
      <c r="E49" s="25" t="s">
        <v>405</v>
      </c>
      <c r="F49" s="57" t="s">
        <v>443</v>
      </c>
      <c r="G49" s="25" t="s">
        <v>9</v>
      </c>
      <c r="H49" s="25" t="s">
        <v>44</v>
      </c>
      <c r="I49" s="55" t="s">
        <v>459</v>
      </c>
    </row>
    <row r="50" spans="2:9" x14ac:dyDescent="0.4">
      <c r="B50" s="25" t="s">
        <v>498</v>
      </c>
      <c r="C50" s="25" t="s">
        <v>44</v>
      </c>
      <c r="D50" s="25">
        <v>1</v>
      </c>
      <c r="E50" s="25" t="s">
        <v>405</v>
      </c>
      <c r="F50" s="57" t="s">
        <v>444</v>
      </c>
      <c r="G50" s="25" t="s">
        <v>9</v>
      </c>
      <c r="H50" s="25" t="s">
        <v>44</v>
      </c>
      <c r="I50" s="55" t="s">
        <v>460</v>
      </c>
    </row>
    <row r="51" spans="2:9" x14ac:dyDescent="0.4">
      <c r="B51" s="25" t="s">
        <v>499</v>
      </c>
      <c r="C51" s="25" t="s">
        <v>44</v>
      </c>
      <c r="D51" s="25">
        <v>1</v>
      </c>
      <c r="E51" s="25" t="s">
        <v>405</v>
      </c>
      <c r="F51" s="57" t="s">
        <v>445</v>
      </c>
      <c r="G51" s="25" t="s">
        <v>9</v>
      </c>
      <c r="H51" s="25" t="s">
        <v>44</v>
      </c>
      <c r="I51" s="55" t="s">
        <v>461</v>
      </c>
    </row>
    <row r="52" spans="2:9" x14ac:dyDescent="0.4">
      <c r="B52" s="25" t="s">
        <v>500</v>
      </c>
      <c r="C52" s="25" t="s">
        <v>44</v>
      </c>
      <c r="D52" s="25">
        <v>1</v>
      </c>
      <c r="E52" s="25" t="s">
        <v>405</v>
      </c>
      <c r="F52" s="57" t="s">
        <v>446</v>
      </c>
      <c r="G52" s="25" t="s">
        <v>9</v>
      </c>
      <c r="H52" s="25" t="s">
        <v>44</v>
      </c>
      <c r="I52" s="55" t="s">
        <v>462</v>
      </c>
    </row>
    <row r="53" spans="2:9" x14ac:dyDescent="0.4">
      <c r="B53" s="25" t="s">
        <v>501</v>
      </c>
      <c r="C53" s="25" t="s">
        <v>44</v>
      </c>
      <c r="D53" s="25">
        <v>1</v>
      </c>
      <c r="E53" s="25" t="s">
        <v>405</v>
      </c>
      <c r="F53" s="57" t="s">
        <v>447</v>
      </c>
      <c r="G53" s="25" t="s">
        <v>9</v>
      </c>
      <c r="H53" s="25" t="s">
        <v>44</v>
      </c>
      <c r="I53" s="55" t="s">
        <v>463</v>
      </c>
    </row>
    <row r="54" spans="2:9" x14ac:dyDescent="0.4">
      <c r="B54" s="25" t="s">
        <v>502</v>
      </c>
      <c r="C54" s="25" t="s">
        <v>44</v>
      </c>
      <c r="D54" s="25">
        <v>1</v>
      </c>
      <c r="E54" s="25" t="s">
        <v>405</v>
      </c>
      <c r="F54" s="57" t="s">
        <v>448</v>
      </c>
      <c r="G54" s="25" t="s">
        <v>9</v>
      </c>
      <c r="H54" s="25" t="s">
        <v>44</v>
      </c>
      <c r="I54" s="55" t="s">
        <v>464</v>
      </c>
    </row>
    <row r="55" spans="2:9" x14ac:dyDescent="0.4">
      <c r="B55" s="25" t="s">
        <v>503</v>
      </c>
      <c r="C55" s="25" t="s">
        <v>44</v>
      </c>
      <c r="D55" s="25">
        <v>1</v>
      </c>
      <c r="E55" s="25" t="s">
        <v>405</v>
      </c>
      <c r="F55" s="57" t="s">
        <v>449</v>
      </c>
      <c r="G55" s="25" t="s">
        <v>9</v>
      </c>
      <c r="H55" s="25" t="s">
        <v>44</v>
      </c>
      <c r="I55" s="55" t="s">
        <v>465</v>
      </c>
    </row>
    <row r="56" spans="2:9" x14ac:dyDescent="0.4">
      <c r="B56" s="25" t="s">
        <v>504</v>
      </c>
      <c r="C56" s="25" t="s">
        <v>44</v>
      </c>
      <c r="D56" s="25">
        <v>1</v>
      </c>
      <c r="E56" s="25" t="s">
        <v>405</v>
      </c>
      <c r="F56" s="57" t="s">
        <v>450</v>
      </c>
      <c r="G56" s="25" t="s">
        <v>9</v>
      </c>
      <c r="H56" s="25" t="s">
        <v>44</v>
      </c>
      <c r="I56" s="55" t="s">
        <v>466</v>
      </c>
    </row>
    <row r="57" spans="2:9" x14ac:dyDescent="0.4">
      <c r="B57" s="25" t="s">
        <v>505</v>
      </c>
      <c r="C57" s="25" t="s">
        <v>44</v>
      </c>
      <c r="D57" s="25">
        <v>1</v>
      </c>
      <c r="E57" s="25" t="s">
        <v>405</v>
      </c>
      <c r="F57" s="57" t="s">
        <v>451</v>
      </c>
      <c r="G57" s="25" t="s">
        <v>9</v>
      </c>
      <c r="H57" s="25" t="s">
        <v>44</v>
      </c>
      <c r="I57" s="55" t="s">
        <v>467</v>
      </c>
    </row>
    <row r="58" spans="2:9" x14ac:dyDescent="0.4">
      <c r="B58" s="25" t="s">
        <v>506</v>
      </c>
      <c r="C58" s="25" t="s">
        <v>44</v>
      </c>
      <c r="D58" s="25">
        <v>1</v>
      </c>
      <c r="E58" s="25" t="s">
        <v>405</v>
      </c>
      <c r="F58" s="57" t="s">
        <v>452</v>
      </c>
      <c r="G58" s="25" t="s">
        <v>9</v>
      </c>
      <c r="H58" s="25" t="s">
        <v>44</v>
      </c>
      <c r="I58" s="55" t="s">
        <v>468</v>
      </c>
    </row>
    <row r="59" spans="2:9" x14ac:dyDescent="0.4">
      <c r="B59" s="25" t="s">
        <v>507</v>
      </c>
      <c r="C59" s="25" t="s">
        <v>44</v>
      </c>
      <c r="D59" s="25">
        <v>1</v>
      </c>
      <c r="E59" s="25" t="s">
        <v>405</v>
      </c>
      <c r="F59" s="57" t="s">
        <v>453</v>
      </c>
      <c r="G59" s="25" t="s">
        <v>9</v>
      </c>
      <c r="H59" s="25" t="s">
        <v>44</v>
      </c>
      <c r="I59" s="55" t="s">
        <v>469</v>
      </c>
    </row>
    <row r="60" spans="2:9" x14ac:dyDescent="0.4">
      <c r="B60" s="25" t="s">
        <v>333</v>
      </c>
      <c r="C60" s="25" t="s">
        <v>332</v>
      </c>
      <c r="D60" s="25">
        <v>1</v>
      </c>
      <c r="E60" s="25" t="s">
        <v>19</v>
      </c>
      <c r="F60" s="37" t="s">
        <v>334</v>
      </c>
      <c r="G60" s="25" t="s">
        <v>9</v>
      </c>
      <c r="H60" s="25" t="s">
        <v>279</v>
      </c>
      <c r="I60" s="35"/>
    </row>
    <row r="61" spans="2:9" x14ac:dyDescent="0.4">
      <c r="I61"/>
    </row>
    <row r="62" spans="2:9" x14ac:dyDescent="0.4">
      <c r="B62" s="42" t="s">
        <v>354</v>
      </c>
      <c r="I62"/>
    </row>
    <row r="63" spans="2:9" x14ac:dyDescent="0.4">
      <c r="B63" s="42" t="s">
        <v>355</v>
      </c>
      <c r="I63"/>
    </row>
    <row r="64" spans="2:9" x14ac:dyDescent="0.4">
      <c r="I64"/>
    </row>
    <row r="73" spans="9:9" x14ac:dyDescent="0.4">
      <c r="I73"/>
    </row>
    <row r="74" spans="9:9" x14ac:dyDescent="0.4">
      <c r="I74"/>
    </row>
    <row r="75" spans="9:9" x14ac:dyDescent="0.4">
      <c r="I75"/>
    </row>
    <row r="76" spans="9:9" x14ac:dyDescent="0.4">
      <c r="I76"/>
    </row>
    <row r="77" spans="9:9" x14ac:dyDescent="0.4">
      <c r="I77"/>
    </row>
    <row r="78" spans="9:9" x14ac:dyDescent="0.4">
      <c r="I78"/>
    </row>
    <row r="79" spans="9:9" x14ac:dyDescent="0.4">
      <c r="I79"/>
    </row>
    <row r="80" spans="9:9" x14ac:dyDescent="0.4">
      <c r="I80"/>
    </row>
    <row r="81" spans="9:9" x14ac:dyDescent="0.4">
      <c r="I81"/>
    </row>
    <row r="82" spans="9:9" x14ac:dyDescent="0.4">
      <c r="I82"/>
    </row>
    <row r="83" spans="9:9" x14ac:dyDescent="0.4">
      <c r="I83"/>
    </row>
    <row r="84" spans="9:9" x14ac:dyDescent="0.4">
      <c r="I84"/>
    </row>
    <row r="85" spans="9:9" x14ac:dyDescent="0.4">
      <c r="I85"/>
    </row>
    <row r="86" spans="9:9" x14ac:dyDescent="0.4">
      <c r="I86"/>
    </row>
    <row r="87" spans="9:9" x14ac:dyDescent="0.4">
      <c r="I87"/>
    </row>
    <row r="88" spans="9:9" x14ac:dyDescent="0.4">
      <c r="I88"/>
    </row>
    <row r="89" spans="9:9" x14ac:dyDescent="0.4">
      <c r="I89"/>
    </row>
    <row r="90" spans="9:9" x14ac:dyDescent="0.4">
      <c r="I90"/>
    </row>
    <row r="91" spans="9:9" x14ac:dyDescent="0.4">
      <c r="I91"/>
    </row>
    <row r="92" spans="9:9" x14ac:dyDescent="0.4">
      <c r="I92"/>
    </row>
    <row r="93" spans="9:9" x14ac:dyDescent="0.4">
      <c r="I93"/>
    </row>
    <row r="94" spans="9:9" x14ac:dyDescent="0.4">
      <c r="I94"/>
    </row>
    <row r="95" spans="9:9" x14ac:dyDescent="0.4">
      <c r="I95"/>
    </row>
    <row r="96" spans="9:9" x14ac:dyDescent="0.4">
      <c r="I96"/>
    </row>
    <row r="97" spans="9:9" x14ac:dyDescent="0.4">
      <c r="I97"/>
    </row>
    <row r="98" spans="9:9" x14ac:dyDescent="0.4">
      <c r="I98"/>
    </row>
    <row r="99" spans="9:9" x14ac:dyDescent="0.4">
      <c r="I99"/>
    </row>
    <row r="100" spans="9:9" x14ac:dyDescent="0.4">
      <c r="I100"/>
    </row>
    <row r="101" spans="9:9" x14ac:dyDescent="0.4">
      <c r="I101"/>
    </row>
    <row r="102" spans="9:9" x14ac:dyDescent="0.4">
      <c r="I102"/>
    </row>
    <row r="103" spans="9:9" x14ac:dyDescent="0.4">
      <c r="I103"/>
    </row>
    <row r="104" spans="9:9" x14ac:dyDescent="0.4">
      <c r="I104"/>
    </row>
    <row r="105" spans="9:9" x14ac:dyDescent="0.4">
      <c r="I105"/>
    </row>
    <row r="106" spans="9:9" x14ac:dyDescent="0.4">
      <c r="I106"/>
    </row>
    <row r="107" spans="9:9" x14ac:dyDescent="0.4">
      <c r="I107"/>
    </row>
    <row r="108" spans="9:9" x14ac:dyDescent="0.4">
      <c r="I108"/>
    </row>
    <row r="109" spans="9:9" x14ac:dyDescent="0.4">
      <c r="I109"/>
    </row>
    <row r="110" spans="9:9" x14ac:dyDescent="0.4">
      <c r="I110"/>
    </row>
  </sheetData>
  <autoFilter ref="B6:I60" xr:uid="{9C8BF946-5C16-48D6-A4C2-8CD9619C42EE}"/>
  <mergeCells count="6">
    <mergeCell ref="I4:I5"/>
    <mergeCell ref="D4:D5"/>
    <mergeCell ref="E4:E5"/>
    <mergeCell ref="F4:F5"/>
    <mergeCell ref="G4:G5"/>
    <mergeCell ref="H4:H5"/>
  </mergeCells>
  <phoneticPr fontId="2" type="noConversion"/>
  <conditionalFormatting sqref="D1:D64 D73:D1048576">
    <cfRule type="expression" dxfId="7" priority="14">
      <formula>D1=2</formula>
    </cfRule>
    <cfRule type="expression" dxfId="6" priority="15">
      <formula>D1=1</formula>
    </cfRule>
  </conditionalFormatting>
  <conditionalFormatting sqref="G1:G64">
    <cfRule type="expression" dxfId="5" priority="1">
      <formula>G1="EEPROM"</formula>
    </cfRule>
    <cfRule type="expression" dxfId="4" priority="2">
      <formula>G1="RO"</formula>
    </cfRule>
    <cfRule type="expression" dxfId="3" priority="3">
      <formula>G1="RW"</formula>
    </cfRule>
  </conditionalFormatting>
  <conditionalFormatting sqref="G73:G1048576">
    <cfRule type="expression" dxfId="2" priority="16">
      <formula>G73="EEPROM"</formula>
    </cfRule>
    <cfRule type="expression" dxfId="1" priority="17">
      <formula>G73="RO"</formula>
    </cfRule>
    <cfRule type="expression" dxfId="0" priority="18">
      <formula>G73="RW"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1809-6A7B-405E-B021-E5DF3730B5B8}">
  <dimension ref="B2:G62"/>
  <sheetViews>
    <sheetView zoomScale="85" zoomScaleNormal="85" workbookViewId="0">
      <selection activeCell="B2" sqref="B2"/>
    </sheetView>
  </sheetViews>
  <sheetFormatPr defaultRowHeight="17.399999999999999" x14ac:dyDescent="0.4"/>
  <cols>
    <col min="2" max="3" width="12.296875" customWidth="1"/>
    <col min="5" max="5" width="33.5" bestFit="1" customWidth="1"/>
    <col min="6" max="6" width="8.796875" style="31" customWidth="1"/>
    <col min="7" max="7" width="114.8984375" style="28" bestFit="1" customWidth="1"/>
  </cols>
  <sheetData>
    <row r="2" spans="2:7" x14ac:dyDescent="0.4">
      <c r="B2" s="2" t="s">
        <v>0</v>
      </c>
      <c r="C2" s="2"/>
      <c r="D2" s="3"/>
      <c r="E2" s="3"/>
      <c r="F2" s="40"/>
      <c r="G2" s="7"/>
    </row>
    <row r="3" spans="2:7" x14ac:dyDescent="0.4">
      <c r="B3" s="4" t="s">
        <v>361</v>
      </c>
      <c r="C3" s="4"/>
      <c r="D3" s="5"/>
      <c r="E3" s="5"/>
      <c r="F3" s="41"/>
      <c r="G3" s="8"/>
    </row>
    <row r="4" spans="2:7" x14ac:dyDescent="0.4">
      <c r="B4" s="63" t="s">
        <v>359</v>
      </c>
      <c r="C4" s="64"/>
      <c r="D4" s="65" t="s">
        <v>8</v>
      </c>
      <c r="E4" s="65" t="s">
        <v>237</v>
      </c>
      <c r="F4" s="76" t="s">
        <v>30</v>
      </c>
      <c r="G4" s="66" t="s">
        <v>26</v>
      </c>
    </row>
    <row r="5" spans="2:7" x14ac:dyDescent="0.4">
      <c r="B5" s="48" t="s">
        <v>360</v>
      </c>
      <c r="C5" s="48" t="s">
        <v>37</v>
      </c>
      <c r="D5" s="81"/>
      <c r="E5" s="81"/>
      <c r="F5" s="90"/>
      <c r="G5" s="91"/>
    </row>
    <row r="6" spans="2:7" x14ac:dyDescent="0.4">
      <c r="B6" s="25" t="str">
        <f>DEC2HEX(0,4)</f>
        <v>0000</v>
      </c>
      <c r="C6" s="25">
        <v>0</v>
      </c>
      <c r="D6" s="25" t="s">
        <v>18</v>
      </c>
      <c r="E6" s="51" t="s">
        <v>83</v>
      </c>
      <c r="F6" s="25" t="s">
        <v>44</v>
      </c>
      <c r="G6" s="47" t="s">
        <v>84</v>
      </c>
    </row>
    <row r="7" spans="2:7" x14ac:dyDescent="0.4">
      <c r="B7" s="25" t="str">
        <f>DEC2HEX(0+C7,4)</f>
        <v>0004</v>
      </c>
      <c r="C7" s="25">
        <f>C6+4</f>
        <v>4</v>
      </c>
      <c r="D7" s="25" t="s">
        <v>18</v>
      </c>
      <c r="E7" s="51" t="s">
        <v>89</v>
      </c>
      <c r="F7" s="25" t="s">
        <v>44</v>
      </c>
      <c r="G7" s="50" t="s">
        <v>251</v>
      </c>
    </row>
    <row r="8" spans="2:7" x14ac:dyDescent="0.4">
      <c r="B8" s="25" t="str">
        <f t="shared" ref="B8:B9" si="0">DEC2HEX(0+C8,4)</f>
        <v>0008</v>
      </c>
      <c r="C8" s="25">
        <f t="shared" ref="C8:C12" si="1">C7+4</f>
        <v>8</v>
      </c>
      <c r="D8" s="25" t="s">
        <v>18</v>
      </c>
      <c r="E8" s="51" t="s">
        <v>263</v>
      </c>
      <c r="F8" s="25" t="s">
        <v>44</v>
      </c>
      <c r="G8" s="50" t="s">
        <v>240</v>
      </c>
    </row>
    <row r="9" spans="2:7" x14ac:dyDescent="0.4">
      <c r="B9" s="25" t="str">
        <f t="shared" si="0"/>
        <v>000C</v>
      </c>
      <c r="C9" s="25">
        <f t="shared" si="1"/>
        <v>12</v>
      </c>
      <c r="D9" s="25" t="s">
        <v>18</v>
      </c>
      <c r="E9" s="51" t="s">
        <v>113</v>
      </c>
      <c r="F9" s="25" t="s">
        <v>279</v>
      </c>
      <c r="G9" s="50" t="s">
        <v>280</v>
      </c>
    </row>
    <row r="10" spans="2:7" x14ac:dyDescent="0.4">
      <c r="B10" s="25" t="str">
        <f t="shared" ref="B10" si="2">DEC2HEX(0+C10,4)</f>
        <v>0010</v>
      </c>
      <c r="C10" s="25">
        <f t="shared" si="1"/>
        <v>16</v>
      </c>
      <c r="D10" s="25" t="s">
        <v>18</v>
      </c>
      <c r="E10" s="52" t="s">
        <v>86</v>
      </c>
      <c r="F10" s="25" t="s">
        <v>44</v>
      </c>
      <c r="G10" s="53" t="s">
        <v>276</v>
      </c>
    </row>
    <row r="11" spans="2:7" x14ac:dyDescent="0.4">
      <c r="B11" s="25" t="str">
        <f t="shared" ref="B11:B12" si="3">DEC2HEX(0+C11,4)</f>
        <v>0014</v>
      </c>
      <c r="C11" s="25">
        <f t="shared" si="1"/>
        <v>20</v>
      </c>
      <c r="D11" s="25" t="s">
        <v>18</v>
      </c>
      <c r="E11" s="57" t="s">
        <v>116</v>
      </c>
      <c r="F11" s="25" t="s">
        <v>44</v>
      </c>
      <c r="G11" s="56" t="s">
        <v>253</v>
      </c>
    </row>
    <row r="12" spans="2:7" x14ac:dyDescent="0.4">
      <c r="B12" s="25" t="str">
        <f t="shared" si="3"/>
        <v>0018</v>
      </c>
      <c r="C12" s="25">
        <f t="shared" si="1"/>
        <v>24</v>
      </c>
      <c r="D12" s="25" t="s">
        <v>18</v>
      </c>
      <c r="E12" s="57" t="s">
        <v>118</v>
      </c>
      <c r="F12" s="25" t="s">
        <v>44</v>
      </c>
      <c r="G12" s="56" t="s">
        <v>254</v>
      </c>
    </row>
    <row r="13" spans="2:7" x14ac:dyDescent="0.4">
      <c r="G13"/>
    </row>
    <row r="14" spans="2:7" x14ac:dyDescent="0.4">
      <c r="B14" s="42"/>
      <c r="C14" s="42"/>
      <c r="G14"/>
    </row>
    <row r="15" spans="2:7" x14ac:dyDescent="0.4">
      <c r="B15" s="4" t="s">
        <v>362</v>
      </c>
      <c r="C15" s="4"/>
      <c r="D15" s="5"/>
      <c r="E15" s="5"/>
      <c r="F15" s="41"/>
      <c r="G15" s="8"/>
    </row>
    <row r="16" spans="2:7" x14ac:dyDescent="0.4">
      <c r="B16" s="63" t="s">
        <v>377</v>
      </c>
      <c r="C16" s="64"/>
      <c r="D16" s="65" t="s">
        <v>8</v>
      </c>
      <c r="E16" s="65" t="s">
        <v>237</v>
      </c>
      <c r="F16" s="76" t="s">
        <v>30</v>
      </c>
      <c r="G16" s="66" t="s">
        <v>26</v>
      </c>
    </row>
    <row r="17" spans="2:7" x14ac:dyDescent="0.4">
      <c r="B17" s="48" t="s">
        <v>360</v>
      </c>
      <c r="C17" s="48" t="s">
        <v>37</v>
      </c>
      <c r="D17" s="81"/>
      <c r="E17" s="81"/>
      <c r="F17" s="90"/>
      <c r="G17" s="91"/>
    </row>
    <row r="18" spans="2:7" x14ac:dyDescent="0.4">
      <c r="B18" s="25" t="str">
        <f>DEC2HEX( 134246400 + C18, 8 )</f>
        <v>08007000</v>
      </c>
      <c r="C18" s="25">
        <v>0</v>
      </c>
      <c r="D18" s="25" t="s">
        <v>364</v>
      </c>
      <c r="E18" s="51" t="s">
        <v>363</v>
      </c>
      <c r="F18" s="32"/>
      <c r="G18" s="50" t="s">
        <v>353</v>
      </c>
    </row>
    <row r="19" spans="2:7" x14ac:dyDescent="0.4">
      <c r="B19" s="25" t="str">
        <f t="shared" ref="B19:B29" si="4">DEC2HEX( 134246400 + C19, 8 )</f>
        <v>08007008</v>
      </c>
      <c r="C19" s="25">
        <f>C18+8</f>
        <v>8</v>
      </c>
      <c r="D19" s="25" t="s">
        <v>365</v>
      </c>
      <c r="E19" s="51" t="s">
        <v>366</v>
      </c>
      <c r="F19" s="25" t="s">
        <v>279</v>
      </c>
      <c r="G19" s="50" t="s">
        <v>380</v>
      </c>
    </row>
    <row r="20" spans="2:7" x14ac:dyDescent="0.4">
      <c r="B20" s="25" t="str">
        <f t="shared" si="4"/>
        <v>08007010</v>
      </c>
      <c r="C20" s="25">
        <f t="shared" ref="C20:C29" si="5">C19+8</f>
        <v>16</v>
      </c>
      <c r="D20" s="25" t="s">
        <v>365</v>
      </c>
      <c r="E20" s="51" t="s">
        <v>367</v>
      </c>
      <c r="F20" s="25" t="s">
        <v>279</v>
      </c>
      <c r="G20" s="50" t="s">
        <v>381</v>
      </c>
    </row>
    <row r="21" spans="2:7" x14ac:dyDescent="0.4">
      <c r="B21" s="25" t="str">
        <f t="shared" si="4"/>
        <v>08007018</v>
      </c>
      <c r="C21" s="25">
        <f t="shared" si="5"/>
        <v>24</v>
      </c>
      <c r="D21" s="25" t="s">
        <v>365</v>
      </c>
      <c r="E21" s="51" t="s">
        <v>368</v>
      </c>
      <c r="F21" s="25" t="s">
        <v>279</v>
      </c>
      <c r="G21" s="50" t="s">
        <v>382</v>
      </c>
    </row>
    <row r="22" spans="2:7" x14ac:dyDescent="0.4">
      <c r="B22" s="25" t="str">
        <f t="shared" si="4"/>
        <v>08007020</v>
      </c>
      <c r="C22" s="25">
        <f t="shared" si="5"/>
        <v>32</v>
      </c>
      <c r="D22" s="25" t="s">
        <v>365</v>
      </c>
      <c r="E22" s="51" t="s">
        <v>369</v>
      </c>
      <c r="F22" s="25" t="s">
        <v>379</v>
      </c>
      <c r="G22" s="50" t="s">
        <v>383</v>
      </c>
    </row>
    <row r="23" spans="2:7" x14ac:dyDescent="0.4">
      <c r="B23" s="25" t="str">
        <f t="shared" si="4"/>
        <v>08007028</v>
      </c>
      <c r="C23" s="25">
        <f t="shared" si="5"/>
        <v>40</v>
      </c>
      <c r="D23" s="25" t="s">
        <v>365</v>
      </c>
      <c r="E23" s="51" t="s">
        <v>370</v>
      </c>
      <c r="F23" s="25" t="s">
        <v>379</v>
      </c>
      <c r="G23" s="50" t="s">
        <v>384</v>
      </c>
    </row>
    <row r="24" spans="2:7" x14ac:dyDescent="0.4">
      <c r="B24" s="25" t="str">
        <f t="shared" si="4"/>
        <v>08007030</v>
      </c>
      <c r="C24" s="25">
        <f t="shared" si="5"/>
        <v>48</v>
      </c>
      <c r="D24" s="25" t="s">
        <v>365</v>
      </c>
      <c r="E24" s="37" t="s">
        <v>371</v>
      </c>
      <c r="F24" s="25" t="s">
        <v>379</v>
      </c>
      <c r="G24" s="50" t="s">
        <v>385</v>
      </c>
    </row>
    <row r="25" spans="2:7" x14ac:dyDescent="0.4">
      <c r="B25" s="25" t="str">
        <f t="shared" si="4"/>
        <v>08007038</v>
      </c>
      <c r="C25" s="25">
        <f t="shared" si="5"/>
        <v>56</v>
      </c>
      <c r="D25" s="25" t="s">
        <v>365</v>
      </c>
      <c r="E25" s="37" t="s">
        <v>372</v>
      </c>
      <c r="F25" s="25" t="s">
        <v>378</v>
      </c>
      <c r="G25" s="50" t="s">
        <v>386</v>
      </c>
    </row>
    <row r="26" spans="2:7" x14ac:dyDescent="0.4">
      <c r="B26" s="25" t="str">
        <f t="shared" si="4"/>
        <v>08007040</v>
      </c>
      <c r="C26" s="25">
        <f t="shared" si="5"/>
        <v>64</v>
      </c>
      <c r="D26" s="25" t="s">
        <v>365</v>
      </c>
      <c r="E26" s="51" t="s">
        <v>373</v>
      </c>
      <c r="F26" s="25" t="s">
        <v>378</v>
      </c>
      <c r="G26" s="50" t="s">
        <v>387</v>
      </c>
    </row>
    <row r="27" spans="2:7" x14ac:dyDescent="0.4">
      <c r="B27" s="25" t="str">
        <f t="shared" si="4"/>
        <v>08007048</v>
      </c>
      <c r="C27" s="25">
        <f t="shared" si="5"/>
        <v>72</v>
      </c>
      <c r="D27" s="25" t="s">
        <v>365</v>
      </c>
      <c r="E27" s="51" t="s">
        <v>374</v>
      </c>
      <c r="F27" s="25" t="s">
        <v>378</v>
      </c>
      <c r="G27" s="50" t="s">
        <v>388</v>
      </c>
    </row>
    <row r="28" spans="2:7" x14ac:dyDescent="0.4">
      <c r="B28" s="25" t="str">
        <f t="shared" si="4"/>
        <v>08007050</v>
      </c>
      <c r="C28" s="25">
        <f t="shared" si="5"/>
        <v>80</v>
      </c>
      <c r="D28" s="25" t="s">
        <v>365</v>
      </c>
      <c r="E28" s="51" t="s">
        <v>375</v>
      </c>
      <c r="F28" s="25"/>
      <c r="G28" s="47"/>
    </row>
    <row r="29" spans="2:7" x14ac:dyDescent="0.4">
      <c r="B29" s="25" t="str">
        <f t="shared" si="4"/>
        <v>08007058</v>
      </c>
      <c r="C29" s="25">
        <f t="shared" si="5"/>
        <v>88</v>
      </c>
      <c r="D29" s="25" t="s">
        <v>18</v>
      </c>
      <c r="E29" s="51" t="s">
        <v>376</v>
      </c>
      <c r="F29" s="25"/>
      <c r="G29" s="47"/>
    </row>
    <row r="30" spans="2:7" x14ac:dyDescent="0.4">
      <c r="F30"/>
      <c r="G30"/>
    </row>
    <row r="31" spans="2:7" x14ac:dyDescent="0.4">
      <c r="F31"/>
      <c r="G31"/>
    </row>
    <row r="32" spans="2:7" x14ac:dyDescent="0.4">
      <c r="F32"/>
      <c r="G32"/>
    </row>
    <row r="33" spans="6:7" x14ac:dyDescent="0.4">
      <c r="F33"/>
      <c r="G33"/>
    </row>
    <row r="34" spans="6:7" x14ac:dyDescent="0.4">
      <c r="F34"/>
      <c r="G34"/>
    </row>
    <row r="35" spans="6:7" x14ac:dyDescent="0.4">
      <c r="F35"/>
      <c r="G35"/>
    </row>
    <row r="36" spans="6:7" x14ac:dyDescent="0.4">
      <c r="F36"/>
      <c r="G36"/>
    </row>
    <row r="37" spans="6:7" x14ac:dyDescent="0.4">
      <c r="F37"/>
      <c r="G37"/>
    </row>
    <row r="38" spans="6:7" x14ac:dyDescent="0.4">
      <c r="G38"/>
    </row>
    <row r="39" spans="6:7" x14ac:dyDescent="0.4">
      <c r="G39"/>
    </row>
    <row r="40" spans="6:7" x14ac:dyDescent="0.4">
      <c r="G40"/>
    </row>
    <row r="41" spans="6:7" x14ac:dyDescent="0.4">
      <c r="G41"/>
    </row>
    <row r="42" spans="6:7" x14ac:dyDescent="0.4">
      <c r="G42"/>
    </row>
    <row r="43" spans="6:7" x14ac:dyDescent="0.4">
      <c r="G43"/>
    </row>
    <row r="44" spans="6:7" x14ac:dyDescent="0.4">
      <c r="G44"/>
    </row>
    <row r="45" spans="6:7" x14ac:dyDescent="0.4">
      <c r="G45"/>
    </row>
    <row r="46" spans="6:7" x14ac:dyDescent="0.4">
      <c r="G46"/>
    </row>
    <row r="47" spans="6:7" x14ac:dyDescent="0.4">
      <c r="G47"/>
    </row>
    <row r="48" spans="6:7" x14ac:dyDescent="0.4">
      <c r="G48"/>
    </row>
    <row r="49" spans="7:7" x14ac:dyDescent="0.4">
      <c r="G49"/>
    </row>
    <row r="50" spans="7:7" x14ac:dyDescent="0.4">
      <c r="G50"/>
    </row>
    <row r="51" spans="7:7" x14ac:dyDescent="0.4">
      <c r="G51"/>
    </row>
    <row r="52" spans="7:7" x14ac:dyDescent="0.4">
      <c r="G52"/>
    </row>
    <row r="53" spans="7:7" x14ac:dyDescent="0.4">
      <c r="G53"/>
    </row>
    <row r="54" spans="7:7" x14ac:dyDescent="0.4">
      <c r="G54"/>
    </row>
    <row r="55" spans="7:7" x14ac:dyDescent="0.4">
      <c r="G55"/>
    </row>
    <row r="56" spans="7:7" x14ac:dyDescent="0.4">
      <c r="G56"/>
    </row>
    <row r="57" spans="7:7" x14ac:dyDescent="0.4">
      <c r="G57"/>
    </row>
    <row r="58" spans="7:7" x14ac:dyDescent="0.4">
      <c r="G58"/>
    </row>
    <row r="59" spans="7:7" x14ac:dyDescent="0.4">
      <c r="G59"/>
    </row>
    <row r="60" spans="7:7" x14ac:dyDescent="0.4">
      <c r="G60"/>
    </row>
    <row r="61" spans="7:7" x14ac:dyDescent="0.4">
      <c r="G61"/>
    </row>
    <row r="62" spans="7:7" x14ac:dyDescent="0.4">
      <c r="G62"/>
    </row>
  </sheetData>
  <mergeCells count="10">
    <mergeCell ref="D16:D17"/>
    <mergeCell ref="E16:E17"/>
    <mergeCell ref="F16:F17"/>
    <mergeCell ref="G16:G17"/>
    <mergeCell ref="B4:C4"/>
    <mergeCell ref="B16:C16"/>
    <mergeCell ref="D4:D5"/>
    <mergeCell ref="E4:E5"/>
    <mergeCell ref="F4:F5"/>
    <mergeCell ref="G4:G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A) Interanl Memory Map</vt:lpstr>
      <vt:lpstr>B) EBMpapst - Holding Register</vt:lpstr>
      <vt:lpstr>C) EBMpapst - Input Register</vt:lpstr>
      <vt:lpstr>D) LSmecapion</vt:lpstr>
      <vt:lpstr>E) EEPROM Parameter Save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</dc:creator>
  <cp:lastModifiedBy>user</cp:lastModifiedBy>
  <cp:lastPrinted>2026-02-09T01:50:53Z</cp:lastPrinted>
  <dcterms:created xsi:type="dcterms:W3CDTF">2015-06-05T18:19:34Z</dcterms:created>
  <dcterms:modified xsi:type="dcterms:W3CDTF">2026-03-03T07:00:06Z</dcterms:modified>
</cp:coreProperties>
</file>